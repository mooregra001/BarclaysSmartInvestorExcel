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Finance1\Barclays\Excel\Sample\"/>
    </mc:Choice>
  </mc:AlternateContent>
  <xr:revisionPtr revIDLastSave="0" documentId="13_ncr:1_{E2F5AFE4-BBF0-4157-9B07-AD3A55346959}" xr6:coauthVersionLast="47" xr6:coauthVersionMax="47" xr10:uidLastSave="{00000000-0000-0000-0000-000000000000}"/>
  <bookViews>
    <workbookView xWindow="-108" yWindow="-108" windowWidth="23256" windowHeight="12456" tabRatio="500" xr2:uid="{EBF22F2F-F974-474D-81BD-F6FF1F14DA8E}"/>
  </bookViews>
  <sheets>
    <sheet name="Control" sheetId="1" r:id="rId1"/>
    <sheet name="PnL" sheetId="13" r:id="rId2"/>
    <sheet name="Transactions" sheetId="8" r:id="rId3"/>
    <sheet name="Investments" sheetId="10" r:id="rId4"/>
    <sheet name="MapMiscTransactions" sheetId="9" r:id="rId5"/>
    <sheet name="MapConsolidatedDetails" sheetId="7" r:id="rId6"/>
    <sheet name="MapRougueTrades" sheetId="14" r:id="rId7"/>
  </sheets>
  <functionGroups builtInGroupCount="19"/>
  <definedNames>
    <definedName name="_xlnm._FilterDatabase" localSheetId="5" hidden="1">MapConsolidatedDetails!$A$2:$B$123</definedName>
    <definedName name="_xlnm._FilterDatabase" localSheetId="4" hidden="1">MapMiscTransactions!$A$2:$B$35</definedName>
    <definedName name="_xlnm._FilterDatabase" localSheetId="2" hidden="1">Transactions!$A$1:$I$4036</definedName>
    <definedName name="BasePath">Control!$C$9</definedName>
    <definedName name="BusinessDate">Control!$C$4</definedName>
    <definedName name="DataPath">Control!$C$12</definedName>
    <definedName name="DBPath">Control!$C$11</definedName>
    <definedName name="FileName">Control!$C$8</definedName>
    <definedName name="FilePath">Control!$C$10</definedName>
    <definedName name="InvestmentsPath">Control!$C$13</definedName>
    <definedName name="LDate">Control!$C$6</definedName>
    <definedName name="PDate">Control!$C$7</definedName>
    <definedName name="rngLDate">Control!$D$6</definedName>
  </definedNames>
  <calcPr calcId="191029"/>
  <pivotCaches>
    <pivotCache cacheId="5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0" l="1"/>
  <c r="A11" i="10"/>
  <c r="A10" i="10"/>
  <c r="A9" i="10"/>
  <c r="A8" i="10"/>
  <c r="A7" i="10"/>
  <c r="A6" i="10"/>
  <c r="A5" i="10"/>
  <c r="A4" i="10"/>
  <c r="A3" i="10"/>
  <c r="A2" i="10"/>
  <c r="A13" i="10"/>
  <c r="C8" i="1" l="1"/>
  <c r="C9" i="1"/>
  <c r="C10" i="1" s="1"/>
  <c r="C11" i="1"/>
  <c r="D6" i="1"/>
  <c r="G45" i="13" l="1"/>
  <c r="I45" i="13" s="1"/>
  <c r="H12" i="13"/>
  <c r="J12" i="13" s="1"/>
  <c r="G6" i="13"/>
  <c r="I6" i="13" s="1"/>
  <c r="H10" i="13"/>
  <c r="J10" i="13" s="1"/>
  <c r="H51" i="13"/>
  <c r="J51" i="13" s="1"/>
  <c r="G49" i="13"/>
  <c r="I49" i="13" s="1"/>
  <c r="H44" i="13"/>
  <c r="J44" i="13" s="1"/>
  <c r="G42" i="13"/>
  <c r="I42" i="13" s="1"/>
  <c r="H37" i="13"/>
  <c r="J37" i="13" s="1"/>
  <c r="G35" i="13"/>
  <c r="I35" i="13" s="1"/>
  <c r="H30" i="13"/>
  <c r="J30" i="13" s="1"/>
  <c r="G28" i="13"/>
  <c r="I28" i="13" s="1"/>
  <c r="H21" i="13"/>
  <c r="J21" i="13" s="1"/>
  <c r="G19" i="13"/>
  <c r="I19" i="13" s="1"/>
  <c r="H14" i="13"/>
  <c r="J14" i="13" s="1"/>
  <c r="G12" i="13"/>
  <c r="I12" i="13" s="1"/>
  <c r="H53" i="13"/>
  <c r="J53" i="13" s="1"/>
  <c r="G51" i="13"/>
  <c r="I51" i="13" s="1"/>
  <c r="H46" i="13"/>
  <c r="J46" i="13" s="1"/>
  <c r="G44" i="13"/>
  <c r="I44" i="13" s="1"/>
  <c r="G37" i="13"/>
  <c r="I37" i="13" s="1"/>
  <c r="H32" i="13"/>
  <c r="J32" i="13" s="1"/>
  <c r="G30" i="13"/>
  <c r="I30" i="13" s="1"/>
  <c r="H23" i="13"/>
  <c r="J23" i="13" s="1"/>
  <c r="G21" i="13"/>
  <c r="I21" i="13" s="1"/>
  <c r="H16" i="13"/>
  <c r="J16" i="13" s="1"/>
  <c r="G14" i="13"/>
  <c r="I14" i="13" s="1"/>
  <c r="H7" i="13"/>
  <c r="J7" i="13" s="1"/>
  <c r="G54" i="13"/>
  <c r="I54" i="13" s="1"/>
  <c r="H40" i="13"/>
  <c r="J40" i="13" s="1"/>
  <c r="H26" i="13"/>
  <c r="J26" i="13" s="1"/>
  <c r="G15" i="13"/>
  <c r="I15" i="13" s="1"/>
  <c r="G56" i="13"/>
  <c r="I56" i="13" s="1"/>
  <c r="G47" i="13"/>
  <c r="I47" i="13" s="1"/>
  <c r="G40" i="13"/>
  <c r="I40" i="13" s="1"/>
  <c r="G33" i="13"/>
  <c r="I33" i="13" s="1"/>
  <c r="G26" i="13"/>
  <c r="I26" i="13" s="1"/>
  <c r="H19" i="13"/>
  <c r="J19" i="13" s="1"/>
  <c r="G10" i="13"/>
  <c r="I10" i="13" s="1"/>
  <c r="H55" i="13"/>
  <c r="J55" i="13" s="1"/>
  <c r="G53" i="13"/>
  <c r="I53" i="13" s="1"/>
  <c r="H48" i="13"/>
  <c r="J48" i="13" s="1"/>
  <c r="G46" i="13"/>
  <c r="I46" i="13" s="1"/>
  <c r="H39" i="13"/>
  <c r="J39" i="13" s="1"/>
  <c r="H34" i="13"/>
  <c r="J34" i="13" s="1"/>
  <c r="G32" i="13"/>
  <c r="I32" i="13" s="1"/>
  <c r="H25" i="13"/>
  <c r="J25" i="13" s="1"/>
  <c r="G23" i="13"/>
  <c r="I23" i="13" s="1"/>
  <c r="H18" i="13"/>
  <c r="J18" i="13" s="1"/>
  <c r="G16" i="13"/>
  <c r="I16" i="13" s="1"/>
  <c r="H9" i="13"/>
  <c r="J9" i="13" s="1"/>
  <c r="G7" i="13"/>
  <c r="I7" i="13" s="1"/>
  <c r="H56" i="13"/>
  <c r="J56" i="13" s="1"/>
  <c r="H47" i="13"/>
  <c r="J47" i="13" s="1"/>
  <c r="G38" i="13"/>
  <c r="I38" i="13" s="1"/>
  <c r="G31" i="13"/>
  <c r="I31" i="13" s="1"/>
  <c r="H17" i="13"/>
  <c r="J17" i="13" s="1"/>
  <c r="G8" i="13"/>
  <c r="I8" i="13" s="1"/>
  <c r="H49" i="13"/>
  <c r="J49" i="13" s="1"/>
  <c r="H42" i="13"/>
  <c r="J42" i="13" s="1"/>
  <c r="H35" i="13"/>
  <c r="J35" i="13" s="1"/>
  <c r="H28" i="13"/>
  <c r="J28" i="13" s="1"/>
  <c r="G17" i="13"/>
  <c r="I17" i="13" s="1"/>
  <c r="G55" i="13"/>
  <c r="I55" i="13" s="1"/>
  <c r="H50" i="13"/>
  <c r="J50" i="13" s="1"/>
  <c r="G48" i="13"/>
  <c r="I48" i="13" s="1"/>
  <c r="H41" i="13"/>
  <c r="J41" i="13" s="1"/>
  <c r="G39" i="13"/>
  <c r="I39" i="13" s="1"/>
  <c r="H36" i="13"/>
  <c r="J36" i="13" s="1"/>
  <c r="G34" i="13"/>
  <c r="I34" i="13" s="1"/>
  <c r="H27" i="13"/>
  <c r="J27" i="13" s="1"/>
  <c r="G25" i="13"/>
  <c r="I25" i="13" s="1"/>
  <c r="H20" i="13"/>
  <c r="J20" i="13" s="1"/>
  <c r="G18" i="13"/>
  <c r="I18" i="13" s="1"/>
  <c r="H11" i="13"/>
  <c r="J11" i="13" s="1"/>
  <c r="G9" i="13"/>
  <c r="I9" i="13" s="1"/>
  <c r="G5" i="13"/>
  <c r="I5" i="13" s="1"/>
  <c r="H52" i="13"/>
  <c r="J52" i="13" s="1"/>
  <c r="G50" i="13"/>
  <c r="I50" i="13" s="1"/>
  <c r="H43" i="13"/>
  <c r="J43" i="13" s="1"/>
  <c r="G41" i="13"/>
  <c r="I41" i="13" s="1"/>
  <c r="G36" i="13"/>
  <c r="I36" i="13" s="1"/>
  <c r="H29" i="13"/>
  <c r="J29" i="13" s="1"/>
  <c r="G27" i="13"/>
  <c r="I27" i="13" s="1"/>
  <c r="H22" i="13"/>
  <c r="J22" i="13" s="1"/>
  <c r="G20" i="13"/>
  <c r="I20" i="13" s="1"/>
  <c r="H13" i="13"/>
  <c r="J13" i="13" s="1"/>
  <c r="G11" i="13"/>
  <c r="I11" i="13" s="1"/>
  <c r="H6" i="13"/>
  <c r="J6" i="13" s="1"/>
  <c r="H33" i="13"/>
  <c r="J33" i="13" s="1"/>
  <c r="G24" i="13"/>
  <c r="I24" i="13" s="1"/>
  <c r="H5" i="13"/>
  <c r="J5" i="13" s="1"/>
  <c r="H54" i="13"/>
  <c r="J54" i="13" s="1"/>
  <c r="G52" i="13"/>
  <c r="I52" i="13" s="1"/>
  <c r="H45" i="13"/>
  <c r="J45" i="13" s="1"/>
  <c r="G43" i="13"/>
  <c r="I43" i="13" s="1"/>
  <c r="H38" i="13"/>
  <c r="J38" i="13" s="1"/>
  <c r="H31" i="13"/>
  <c r="J31" i="13" s="1"/>
  <c r="G29" i="13"/>
  <c r="I29" i="13" s="1"/>
  <c r="H24" i="13"/>
  <c r="J24" i="13" s="1"/>
  <c r="G22" i="13"/>
  <c r="I22" i="13" s="1"/>
  <c r="H15" i="13"/>
  <c r="J15" i="13" s="1"/>
  <c r="G13" i="13"/>
  <c r="I13" i="13" s="1"/>
  <c r="H8" i="13"/>
  <c r="J8" i="13" s="1"/>
</calcChain>
</file>

<file path=xl/sharedStrings.xml><?xml version="1.0" encoding="utf-8"?>
<sst xmlns="http://schemas.openxmlformats.org/spreadsheetml/2006/main" count="67" uniqueCount="51">
  <si>
    <t>INSTRUCTIONS:</t>
  </si>
  <si>
    <t>Roll file</t>
  </si>
  <si>
    <t>L. Date</t>
  </si>
  <si>
    <t>P. Date</t>
  </si>
  <si>
    <t>Folder</t>
  </si>
  <si>
    <t>Database</t>
  </si>
  <si>
    <t>Date</t>
  </si>
  <si>
    <t>Details</t>
  </si>
  <si>
    <t>Account</t>
  </si>
  <si>
    <t>Paid In</t>
  </si>
  <si>
    <t>Withdrawn</t>
  </si>
  <si>
    <t>Quantity</t>
  </si>
  <si>
    <t>Price</t>
  </si>
  <si>
    <t>Data</t>
  </si>
  <si>
    <t>C:\Users\moore\Downloads\LoadDocstore.xls</t>
  </si>
  <si>
    <t>Base</t>
  </si>
  <si>
    <t>Next File Name</t>
  </si>
  <si>
    <t>ModifiedDetails</t>
  </si>
  <si>
    <t>ConsolidatedDetails</t>
  </si>
  <si>
    <t>Sum of Quantity</t>
  </si>
  <si>
    <t>(blank)</t>
  </si>
  <si>
    <t>Grand Total</t>
  </si>
  <si>
    <t>Sum of Paid In</t>
  </si>
  <si>
    <t>Sum of Withdrawn</t>
  </si>
  <si>
    <t>Row Labels</t>
  </si>
  <si>
    <t>Investment</t>
  </si>
  <si>
    <t>Identifier</t>
  </si>
  <si>
    <t>Quantity Held</t>
  </si>
  <si>
    <t>Last Price</t>
  </si>
  <si>
    <t>Last Price CCY</t>
  </si>
  <si>
    <t>Value</t>
  </si>
  <si>
    <t>Value CCY</t>
  </si>
  <si>
    <t>FX Rate</t>
  </si>
  <si>
    <t>Last Price (p)</t>
  </si>
  <si>
    <t>Value (£)</t>
  </si>
  <si>
    <t>Book Cost</t>
  </si>
  <si>
    <t>Book Cost CCY</t>
  </si>
  <si>
    <t>Average FX Rate</t>
  </si>
  <si>
    <t>Book Cost (£)</t>
  </si>
  <si>
    <t>% Change</t>
  </si>
  <si>
    <t>User maintaned mapping table to handle 'Details' not caught by the code.</t>
  </si>
  <si>
    <t>User maintaned mapping table to aggregate the various instruments in 'ModifedDetails' into 'ConsolidatedDetails'.</t>
  </si>
  <si>
    <t>MV</t>
  </si>
  <si>
    <t>PnL</t>
  </si>
  <si>
    <t>Notes</t>
  </si>
  <si>
    <t>Rec</t>
  </si>
  <si>
    <t>Import Transactions</t>
  </si>
  <si>
    <t>Import Investments</t>
  </si>
  <si>
    <t>Investments</t>
  </si>
  <si>
    <t>C:\Users\moore\Downloads\Investments.xls</t>
  </si>
  <si>
    <t>User maintained mapping table to handle edge cases and missing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</si>
</sst>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&quot;, &quot;mmmm\ dd&quot;, &quot;yyyy"/>
  </numFmts>
  <fonts count="13" x14ac:knownFonts="1">
    <font>
      <sz val="10"/>
      <name val="Arial"/>
    </font>
    <font>
      <b/>
      <sz val="10"/>
      <name val="Arial"/>
      <family val="2"/>
    </font>
    <font>
      <b/>
      <sz val="10"/>
      <name val="Arial"/>
      <family val="2"/>
    </font>
    <font>
      <b/>
      <u/>
      <sz val="12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1"/>
      <color indexed="8"/>
      <name val="Aptos"/>
      <family val="2"/>
    </font>
    <font>
      <sz val="10"/>
      <color indexed="8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</borders>
  <cellStyleXfs count="13">
    <xf numFmtId="0" fontId="0" fillId="0" borderId="0"/>
    <xf numFmtId="0" fontId="6" fillId="0" borderId="0" applyNumberFormat="0" applyFill="0" applyBorder="0" applyAlignment="0" applyProtection="0"/>
    <xf numFmtId="0" fontId="8" fillId="0" borderId="0" applyNumberFormat="0" applyFill="0" applyBorder="0" applyProtection="0">
      <alignment horizontal="left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8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10" fillId="0" borderId="0"/>
    <xf numFmtId="0" fontId="10" fillId="0" borderId="0"/>
    <xf numFmtId="0" fontId="5" fillId="0" borderId="0"/>
  </cellStyleXfs>
  <cellXfs count="40">
    <xf numFmtId="0" fontId="0" fillId="0" borderId="0" xfId="0"/>
    <xf numFmtId="14" fontId="0" fillId="0" borderId="0" xfId="0" applyNumberFormat="1"/>
    <xf numFmtId="0" fontId="4" fillId="3" borderId="0" xfId="0" applyFont="1" applyFill="1" applyAlignment="1">
      <alignment horizontal="center"/>
    </xf>
    <xf numFmtId="14" fontId="4" fillId="3" borderId="0" xfId="0" applyNumberFormat="1" applyFont="1" applyFill="1"/>
    <xf numFmtId="0" fontId="0" fillId="0" borderId="0" xfId="0" applyAlignment="1">
      <alignment horizontal="center"/>
    </xf>
    <xf numFmtId="0" fontId="5" fillId="0" borderId="0" xfId="0" applyFont="1"/>
    <xf numFmtId="14" fontId="5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11" fillId="0" borderId="2" xfId="10" applyFont="1" applyBorder="1" applyAlignment="1">
      <alignment wrapText="1"/>
    </xf>
    <xf numFmtId="0" fontId="11" fillId="0" borderId="2" xfId="11" applyFont="1" applyBorder="1" applyAlignment="1">
      <alignment wrapText="1"/>
    </xf>
    <xf numFmtId="0" fontId="2" fillId="0" borderId="0" xfId="0" applyFont="1" applyAlignment="1">
      <alignment horizontal="center"/>
    </xf>
    <xf numFmtId="14" fontId="3" fillId="0" borderId="0" xfId="0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0" fontId="4" fillId="0" borderId="0" xfId="0" applyFont="1"/>
    <xf numFmtId="0" fontId="5" fillId="0" borderId="0" xfId="0" applyFont="1" applyAlignment="1">
      <alignment horizontal="center"/>
    </xf>
    <xf numFmtId="14" fontId="7" fillId="0" borderId="0" xfId="1" applyNumberFormat="1" applyFont="1" applyFill="1" applyBorder="1" applyAlignment="1" applyProtection="1"/>
    <xf numFmtId="14" fontId="5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5" fillId="0" borderId="0" xfId="0" applyFont="1" applyAlignment="1">
      <alignment horizontal="left"/>
    </xf>
    <xf numFmtId="0" fontId="5" fillId="6" borderId="0" xfId="0" applyFont="1" applyFill="1"/>
    <xf numFmtId="38" fontId="0" fillId="0" borderId="0" xfId="0" applyNumberFormat="1"/>
    <xf numFmtId="0" fontId="1" fillId="0" borderId="0" xfId="0" applyFont="1" applyAlignment="1">
      <alignment horizontal="center"/>
    </xf>
    <xf numFmtId="0" fontId="11" fillId="0" borderId="0" xfId="11" applyFont="1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5" borderId="0" xfId="0" applyFont="1" applyFill="1"/>
    <xf numFmtId="0" fontId="12" fillId="4" borderId="1" xfId="11" applyFont="1" applyFill="1" applyBorder="1" applyAlignment="1">
      <alignment horizontal="center" wrapText="1"/>
    </xf>
    <xf numFmtId="0" fontId="12" fillId="0" borderId="2" xfId="11" applyFont="1" applyBorder="1" applyAlignment="1">
      <alignment wrapText="1"/>
    </xf>
    <xf numFmtId="0" fontId="12" fillId="0" borderId="2" xfId="10" applyFont="1" applyBorder="1" applyAlignment="1">
      <alignment wrapText="1"/>
    </xf>
    <xf numFmtId="0" fontId="12" fillId="0" borderId="0" xfId="11" applyFont="1" applyAlignment="1">
      <alignment wrapText="1"/>
    </xf>
    <xf numFmtId="0" fontId="12" fillId="4" borderId="1" xfId="10" applyFont="1" applyFill="1" applyBorder="1" applyAlignment="1">
      <alignment horizontal="center" wrapText="1"/>
    </xf>
    <xf numFmtId="0" fontId="12" fillId="0" borderId="3" xfId="10" applyFont="1" applyBorder="1" applyAlignment="1">
      <alignment wrapText="1"/>
    </xf>
    <xf numFmtId="0" fontId="12" fillId="0" borderId="4" xfId="10" applyFont="1" applyBorder="1" applyAlignment="1">
      <alignment wrapText="1"/>
    </xf>
    <xf numFmtId="0" fontId="1" fillId="0" borderId="0" xfId="12" applyFont="1"/>
    <xf numFmtId="0" fontId="5" fillId="0" borderId="0" xfId="12"/>
    <xf numFmtId="0" fontId="5" fillId="7" borderId="0" xfId="0" applyFont="1" applyFill="1"/>
    <xf numFmtId="0" fontId="0" fillId="7" borderId="0" xfId="0" applyFill="1"/>
  </cellXfs>
  <cellStyles count="13">
    <cellStyle name="Hyperlink" xfId="1" builtinId="8"/>
    <cellStyle name="Normal" xfId="0" builtinId="0"/>
    <cellStyle name="Normal 2" xfId="12" xr:uid="{009A02B3-92B0-4280-9C3B-597888C10B62}"/>
    <cellStyle name="Normal_MapConsolidatedDetails" xfId="10" xr:uid="{7B6460A9-BD56-421C-8920-17583EB6114A}"/>
    <cellStyle name="Normal_MapMiscTransactions" xfId="11" xr:uid="{E3F650DE-7655-4F8F-8D42-82768B0ABAC1}"/>
    <cellStyle name="Pivot Table Category" xfId="2" xr:uid="{5A484718-1C77-4A8E-9E25-E377F3C3A274}"/>
    <cellStyle name="Pivot Table Corner" xfId="3" xr:uid="{6539AA30-0579-4F0F-BC26-7742EAD7F248}"/>
    <cellStyle name="Pivot Table Field" xfId="4" xr:uid="{A6C18E80-30BE-46AD-96B9-31A64C36A9BE}"/>
    <cellStyle name="Pivot Table Result" xfId="5" xr:uid="{A4157536-4F83-4628-9DC4-F4F7EFCE27DE}"/>
    <cellStyle name="Pivot Table Title" xfId="6" xr:uid="{521F7D57-E6A7-41EB-B867-7534B475DCE1}"/>
    <cellStyle name="Pivot Table Value" xfId="7" xr:uid="{C31EAA20-D793-414A-BA24-D8B56F0AB7E7}"/>
    <cellStyle name="Untitled1" xfId="8" xr:uid="{DBD27435-18B4-46CB-8D9B-F51A7219B397}"/>
    <cellStyle name="Untitled2" xfId="9" xr:uid="{486B5DB3-8206-4280-97E3-76A3E0D26BF5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81D41A"/>
      <rgbColor rgb="00FFCC00"/>
      <rgbColor rgb="00FF9900"/>
      <rgbColor rgb="00FF6600"/>
      <rgbColor rgb="00666666"/>
      <rgbColor rgb="00969696"/>
      <rgbColor rgb="00003366"/>
      <rgbColor rgb="0000A933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13</xdr:row>
          <xdr:rowOff>91440</xdr:rowOff>
        </xdr:from>
        <xdr:to>
          <xdr:col>2</xdr:col>
          <xdr:colOff>746760</xdr:colOff>
          <xdr:row>16</xdr:row>
          <xdr:rowOff>68580</xdr:rowOff>
        </xdr:to>
        <xdr:sp macro="" textlink="">
          <xdr:nvSpPr>
            <xdr:cNvPr id="1025" name="Button 1" descr="Roll Re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Roll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19</xdr:row>
          <xdr:rowOff>160020</xdr:rowOff>
        </xdr:from>
        <xdr:to>
          <xdr:col>2</xdr:col>
          <xdr:colOff>739140</xdr:colOff>
          <xdr:row>22</xdr:row>
          <xdr:rowOff>91440</xdr:rowOff>
        </xdr:to>
        <xdr:sp macro="" textlink="">
          <xdr:nvSpPr>
            <xdr:cNvPr id="1026" name="Button 2" descr="ADO Import Platin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Transactions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26</xdr:row>
          <xdr:rowOff>0</xdr:rowOff>
        </xdr:from>
        <xdr:to>
          <xdr:col>2</xdr:col>
          <xdr:colOff>762000</xdr:colOff>
          <xdr:row>28</xdr:row>
          <xdr:rowOff>99060</xdr:rowOff>
        </xdr:to>
        <xdr:sp macro="" textlink="">
          <xdr:nvSpPr>
            <xdr:cNvPr id="1028" name="Button 2" descr="ADO Import Platinu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Investments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 Ta" refreshedDate="45934.561324189817" createdVersion="8" refreshedVersion="8" minRefreshableVersion="3" recordCount="4101" xr:uid="{6C1E8BD8-39B1-4927-AB81-152990520132}">
  <cacheSource type="worksheet">
    <worksheetSource ref="A1:I1048576" sheet="Transactions"/>
  </cacheSource>
  <cacheFields count="9">
    <cacheField name="Date" numFmtId="0">
      <sharedItems containsNonDate="0" containsString="0" containsBlank="1"/>
    </cacheField>
    <cacheField name="Details" numFmtId="0">
      <sharedItems containsNonDate="0" containsString="0" containsBlank="1"/>
    </cacheField>
    <cacheField name="Account" numFmtId="0">
      <sharedItems containsNonDate="0" containsString="0" containsBlank="1"/>
    </cacheField>
    <cacheField name="Paid In" numFmtId="0">
      <sharedItems containsNonDate="0" containsString="0" containsBlank="1"/>
    </cacheField>
    <cacheField name="Withdrawn" numFmtId="0">
      <sharedItems containsNonDate="0" containsString="0" containsBlank="1"/>
    </cacheField>
    <cacheField name="Quantity" numFmtId="0">
      <sharedItems containsNonDate="0" containsString="0" containsBlank="1"/>
    </cacheField>
    <cacheField name="Price" numFmtId="0">
      <sharedItems containsNonDate="0" containsString="0" containsBlank="1"/>
    </cacheField>
    <cacheField name="ModifiedDetails" numFmtId="0">
      <sharedItems containsNonDate="0" containsString="0" containsBlank="1"/>
    </cacheField>
    <cacheField name="ConsolidatedDetails" numFmtId="0">
      <sharedItems containsNonDate="0" containsBlank="1" count="59">
        <m/>
        <s v="FTSE100 ETF" u="1"/>
        <s v="Primary Health Properties" u="1"/>
        <s v="Avesoro Resources" u="1"/>
        <s v="BlackRock Gold &amp; General" u="1"/>
        <s v="HSBC" u="1"/>
        <s v="Royal Dutch Shell" u="1"/>
        <s v="Regional Reit" u="1"/>
        <s v="BRIC ETF" u="1"/>
        <s v="Emerging Markets ETF" u="1"/>
        <s v="Admin Fee" u="1"/>
        <s v="SIPP Transfer" u="1"/>
        <s v="S&amp;P500 ETF" u="1"/>
        <s v="Bank of Ireland" u="1"/>
        <s v="SIPP Contribution" u="1"/>
        <s v="BP" u="1"/>
        <s v="Interest" u="1"/>
        <s v="Tesco Bond" u="1"/>
        <s v="GlaxoSmithKline" u="1"/>
        <s v="Vodafone" u="1"/>
        <s v="Korea ETF" u="1"/>
        <s v="UK Gilts ETF" u="1"/>
        <s v="Germany ETF" u="1"/>
        <s v="SIPP Tax Relief" u="1"/>
        <s v="Japan ETF" u="1"/>
        <s v="NASDAQ ETF" u="1"/>
        <s v="Asia Pacific ETF" u="1"/>
        <s v="Randgold Resources" u="1"/>
        <s v="Avocet Mining" u="1"/>
        <s v="Orosur Mining" u="1"/>
        <s v="World GBP Hedged ETF" u="1"/>
        <s v="UK Property ETF" u="1"/>
        <s v="UK Dividend Aristocrats ETF" u="1"/>
        <s v="China ETF" u="1"/>
        <s v="Legal &amp; General" u="1"/>
        <s v="Imperial Brands" u="1"/>
        <s v="Baillie Gifford UK Growth Fund" u="1"/>
        <s v="British American Tobacco" u="1"/>
        <s v="Draper Esprit" u="1"/>
        <s v="Gold Producers ETF" u="1"/>
        <s v="Australia ETF" u="1"/>
        <s v="Gold ETF" u="1"/>
        <s v="FTSE100 Short ETF" u="1"/>
        <s v="Real Estate Credit Investments" u="1"/>
        <s v="AEW UK Reit" u="1"/>
        <s v="Social Housing Reit" u="1"/>
        <s v="Sirius Real Estate" u="1"/>
        <s v="Silver ETF" u="1"/>
        <s v="Commodities ETF" u="1"/>
        <s v="Copper ETF" u="1"/>
        <s v="Yellow Cake" u="1"/>
        <s v="Impact Healthcare Reit" u="1"/>
        <s v="Molten Ventures" u="1"/>
        <s v="BAE Systems" u="1"/>
        <s v="Fresnillo" u="1"/>
        <s v="Triple Point Social Housing Reit" u="1"/>
        <e v="#N/A" u="1"/>
        <s v="Aureus Mining" u="1"/>
        <s v="Medicx Fund Limit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1"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  <r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305977-2A8D-45FC-9D4F-CA3E4080155E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4:F6" firstHeaderRow="0" firstDataRow="1" firstDataCol="1"/>
  <pivotFields count="9"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axis="axisRow" showAll="0" sortType="ascending">
      <items count="60">
        <item m="1" x="10"/>
        <item m="1" x="44"/>
        <item m="1" x="26"/>
        <item m="1" x="57"/>
        <item m="1" x="40"/>
        <item m="1" x="3"/>
        <item m="1" x="28"/>
        <item m="1" x="53"/>
        <item m="1" x="36"/>
        <item m="1" x="13"/>
        <item m="1" x="4"/>
        <item m="1" x="15"/>
        <item m="1" x="8"/>
        <item m="1" x="37"/>
        <item m="1" x="33"/>
        <item m="1" x="48"/>
        <item m="1" x="49"/>
        <item m="1" x="38"/>
        <item m="1" x="9"/>
        <item m="1" x="54"/>
        <item m="1" x="1"/>
        <item m="1" x="42"/>
        <item m="1" x="22"/>
        <item m="1" x="18"/>
        <item m="1" x="41"/>
        <item m="1" x="39"/>
        <item m="1" x="5"/>
        <item m="1" x="51"/>
        <item m="1" x="35"/>
        <item m="1" x="16"/>
        <item m="1" x="24"/>
        <item m="1" x="20"/>
        <item m="1" x="34"/>
        <item m="1" x="58"/>
        <item m="1" x="52"/>
        <item m="1" x="25"/>
        <item m="1" x="29"/>
        <item m="1" x="2"/>
        <item m="1" x="27"/>
        <item m="1" x="43"/>
        <item m="1" x="7"/>
        <item m="1" x="6"/>
        <item m="1" x="12"/>
        <item m="1" x="47"/>
        <item h="1" m="1" x="14"/>
        <item h="1" m="1" x="23"/>
        <item h="1" m="1" x="11"/>
        <item m="1" x="46"/>
        <item m="1" x="45"/>
        <item m="1" x="17"/>
        <item m="1" x="55"/>
        <item m="1" x="32"/>
        <item m="1" x="21"/>
        <item m="1" x="31"/>
        <item m="1" x="19"/>
        <item m="1" x="30"/>
        <item m="1" x="50"/>
        <item m="1" x="56"/>
        <item x="0"/>
        <item t="default"/>
      </items>
    </pivotField>
  </pivotFields>
  <rowFields count="1">
    <field x="8"/>
  </rowFields>
  <rowItems count="2">
    <i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5" baseField="0" baseItem="0" numFmtId="38"/>
    <dataField name="Sum of Paid In" fld="3" baseField="0" baseItem="0" numFmtId="38"/>
    <dataField name="Sum of Withdrawn" fld="4" baseField="0" baseItem="0" numFmtId="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2FB4A-2373-43AA-8787-BC11C45C915D}">
  <sheetPr codeName="Sheet1"/>
  <dimension ref="A1:G31"/>
  <sheetViews>
    <sheetView tabSelected="1" topLeftCell="A3" workbookViewId="0">
      <selection activeCell="B6" sqref="B6"/>
    </sheetView>
  </sheetViews>
  <sheetFormatPr defaultRowHeight="13.2" x14ac:dyDescent="0.25"/>
  <cols>
    <col min="2" max="2" width="16.5546875" style="1" customWidth="1"/>
    <col min="3" max="3" width="38.33203125" bestFit="1" customWidth="1"/>
    <col min="4" max="4" width="9.88671875" customWidth="1"/>
  </cols>
  <sheetData>
    <row r="1" spans="1:7" x14ac:dyDescent="0.25">
      <c r="A1" s="11"/>
      <c r="B1"/>
    </row>
    <row r="2" spans="1:7" ht="15.6" x14ac:dyDescent="0.3">
      <c r="A2" s="11"/>
      <c r="B2" s="12" t="s">
        <v>0</v>
      </c>
    </row>
    <row r="3" spans="1:7" x14ac:dyDescent="0.25">
      <c r="A3" s="11"/>
    </row>
    <row r="4" spans="1:7" x14ac:dyDescent="0.25">
      <c r="A4" s="13">
        <v>1</v>
      </c>
      <c r="B4" s="14" t="s">
        <v>1</v>
      </c>
      <c r="C4" s="15"/>
    </row>
    <row r="5" spans="1:7" x14ac:dyDescent="0.25">
      <c r="A5" s="16"/>
      <c r="B5" s="17"/>
    </row>
    <row r="6" spans="1:7" x14ac:dyDescent="0.25">
      <c r="A6" s="16"/>
      <c r="B6" s="18" t="s">
        <v>2</v>
      </c>
      <c r="C6" s="19">
        <v>45912</v>
      </c>
      <c r="D6" s="4" t="str">
        <f>TEXT(LDate,"yyyymmdd")</f>
        <v>20250912</v>
      </c>
    </row>
    <row r="7" spans="1:7" x14ac:dyDescent="0.25">
      <c r="A7" s="16"/>
      <c r="B7" s="18" t="s">
        <v>3</v>
      </c>
      <c r="C7" s="19">
        <v>45911</v>
      </c>
    </row>
    <row r="8" spans="1:7" x14ac:dyDescent="0.25">
      <c r="A8" s="16"/>
      <c r="B8" s="6" t="s">
        <v>16</v>
      </c>
      <c r="C8" s="8" t="str">
        <f>"SIPP_VBA_"&amp;TEXT(LDate,"yyyymmdd")&amp;".xlsm"</f>
        <v>SIPP_VBA_20250912.xlsm</v>
      </c>
    </row>
    <row r="9" spans="1:7" x14ac:dyDescent="0.25">
      <c r="A9" s="16"/>
      <c r="B9" s="6" t="s">
        <v>15</v>
      </c>
      <c r="C9" s="20" t="str">
        <f>"E:\Finance1\Barclays\SIPP\"</f>
        <v>E:\Finance1\Barclays\SIPP\</v>
      </c>
    </row>
    <row r="10" spans="1:7" x14ac:dyDescent="0.25">
      <c r="A10" s="16"/>
      <c r="B10" s="18" t="s">
        <v>4</v>
      </c>
      <c r="C10" s="20" t="str">
        <f>BasePath&amp;TEXT(LDate,"YYYY")&amp;"\"&amp;TEXT(LDate,"mm.Mmm")&amp;"\"</f>
        <v>E:\Finance1\Barclays\SIPP\2025\09.Sep\</v>
      </c>
    </row>
    <row r="11" spans="1:7" x14ac:dyDescent="0.25">
      <c r="A11" s="16"/>
      <c r="B11" s="18" t="s">
        <v>5</v>
      </c>
      <c r="C11" s="20" t="str">
        <f>"E:\Finance1\Barclays\SIPP\"&amp;TEXT(LDate,"YYYY")&amp;"\"&amp;TEXT(LDate,"mm.Mmm")&amp;"\"</f>
        <v>E:\Finance1\Barclays\SIPP\2025\09.Sep\</v>
      </c>
    </row>
    <row r="12" spans="1:7" x14ac:dyDescent="0.25">
      <c r="A12" s="5"/>
      <c r="B12" s="6" t="s">
        <v>13</v>
      </c>
      <c r="C12" s="5" t="s">
        <v>14</v>
      </c>
    </row>
    <row r="13" spans="1:7" x14ac:dyDescent="0.25">
      <c r="A13" s="5"/>
      <c r="B13" s="6" t="s">
        <v>48</v>
      </c>
      <c r="C13" s="5" t="s">
        <v>49</v>
      </c>
      <c r="G13" s="5"/>
    </row>
    <row r="14" spans="1:7" x14ac:dyDescent="0.25">
      <c r="A14" s="5"/>
      <c r="B14" s="6"/>
    </row>
    <row r="15" spans="1:7" x14ac:dyDescent="0.25">
      <c r="A15" s="5"/>
      <c r="B15" s="6"/>
    </row>
    <row r="16" spans="1:7" x14ac:dyDescent="0.25">
      <c r="A16" s="5"/>
      <c r="B16" s="6"/>
    </row>
    <row r="17" spans="1:2" x14ac:dyDescent="0.25">
      <c r="A17" s="5"/>
      <c r="B17" s="6"/>
    </row>
    <row r="18" spans="1:2" x14ac:dyDescent="0.25">
      <c r="A18" s="5"/>
      <c r="B18" s="6"/>
    </row>
    <row r="19" spans="1:2" x14ac:dyDescent="0.25">
      <c r="A19" s="13">
        <v>2</v>
      </c>
      <c r="B19" s="14" t="s">
        <v>46</v>
      </c>
    </row>
    <row r="20" spans="1:2" x14ac:dyDescent="0.25">
      <c r="A20" s="5"/>
      <c r="B20" s="6"/>
    </row>
    <row r="21" spans="1:2" x14ac:dyDescent="0.25">
      <c r="A21" s="5"/>
      <c r="B21" s="6"/>
    </row>
    <row r="22" spans="1:2" x14ac:dyDescent="0.25">
      <c r="A22" s="5"/>
      <c r="B22" s="6"/>
    </row>
    <row r="23" spans="1:2" x14ac:dyDescent="0.25">
      <c r="A23" s="5"/>
      <c r="B23" s="6"/>
    </row>
    <row r="24" spans="1:2" x14ac:dyDescent="0.25">
      <c r="A24" s="5"/>
      <c r="B24" s="6"/>
    </row>
    <row r="25" spans="1:2" x14ac:dyDescent="0.25">
      <c r="A25" s="13">
        <v>3</v>
      </c>
      <c r="B25" s="14" t="s">
        <v>47</v>
      </c>
    </row>
    <row r="31" spans="1:2" x14ac:dyDescent="0.25">
      <c r="A31" s="2"/>
      <c r="B31" s="3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Line="0" autoPict="0" macro="[0]!RollReport" altText="Roll Report">
                <anchor moveWithCells="1" sizeWithCells="1">
                  <from>
                    <xdr:col>1</xdr:col>
                    <xdr:colOff>22860</xdr:colOff>
                    <xdr:row>13</xdr:row>
                    <xdr:rowOff>91440</xdr:rowOff>
                  </from>
                  <to>
                    <xdr:col>2</xdr:col>
                    <xdr:colOff>746760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Line="0" autoPict="0" macro="[0]!Import" altText="ADO Import Platinum">
                <anchor moveWithCells="1" sizeWithCells="1">
                  <from>
                    <xdr:col>0</xdr:col>
                    <xdr:colOff>594360</xdr:colOff>
                    <xdr:row>19</xdr:row>
                    <xdr:rowOff>160020</xdr:rowOff>
                  </from>
                  <to>
                    <xdr:col>2</xdr:col>
                    <xdr:colOff>739140</xdr:colOff>
                    <xdr:row>22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2">
              <controlPr defaultSize="0" autoFill="0" autoLine="0" autoPict="0" macro="[0]!ImportInvestments" altText="ADO Import Platinum">
                <anchor moveWithCells="1" sizeWithCells="1">
                  <from>
                    <xdr:col>1</xdr:col>
                    <xdr:colOff>7620</xdr:colOff>
                    <xdr:row>26</xdr:row>
                    <xdr:rowOff>0</xdr:rowOff>
                  </from>
                  <to>
                    <xdr:col>2</xdr:col>
                    <xdr:colOff>762000</xdr:colOff>
                    <xdr:row>28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EA7C3-6646-4997-A924-1760539CA85F}">
  <sheetPr codeName="Sheet4"/>
  <dimension ref="C4:J62"/>
  <sheetViews>
    <sheetView workbookViewId="0">
      <pane ySplit="4" topLeftCell="A5" activePane="bottomLeft" state="frozen"/>
      <selection pane="bottomLeft" activeCell="A5" sqref="A5"/>
    </sheetView>
  </sheetViews>
  <sheetFormatPr defaultRowHeight="13.2" x14ac:dyDescent="0.25"/>
  <cols>
    <col min="3" max="3" width="13.33203125" bestFit="1" customWidth="1"/>
    <col min="4" max="4" width="15.21875" bestFit="1" customWidth="1"/>
    <col min="5" max="5" width="13.6640625" bestFit="1" customWidth="1"/>
    <col min="6" max="6" width="17.44140625" bestFit="1" customWidth="1"/>
    <col min="9" max="9" width="10.88671875" bestFit="1" customWidth="1"/>
  </cols>
  <sheetData>
    <row r="4" spans="3:10" x14ac:dyDescent="0.25">
      <c r="C4" s="7" t="s">
        <v>24</v>
      </c>
      <c r="D4" t="s">
        <v>19</v>
      </c>
      <c r="E4" t="s">
        <v>22</v>
      </c>
      <c r="F4" t="s">
        <v>23</v>
      </c>
      <c r="G4" s="23" t="s">
        <v>11</v>
      </c>
      <c r="H4" s="23" t="s">
        <v>42</v>
      </c>
      <c r="I4" s="23" t="s">
        <v>45</v>
      </c>
      <c r="J4" s="23" t="s">
        <v>43</v>
      </c>
    </row>
    <row r="5" spans="3:10" x14ac:dyDescent="0.25">
      <c r="C5" s="8" t="s">
        <v>20</v>
      </c>
      <c r="D5" s="22"/>
      <c r="E5" s="22"/>
      <c r="F5" s="22"/>
      <c r="G5">
        <f>IF(ISERROR(VLOOKUP(C5,Investments!A:D,4,0)),0,VLOOKUP(C5,Investments!A:D,4,0))</f>
        <v>0</v>
      </c>
      <c r="H5" s="22">
        <f>IF(ISERROR(VLOOKUP(C5,Investments!A:K,11,0)),0,VLOOKUP(C5,Investments!A:K,11,0))</f>
        <v>0</v>
      </c>
      <c r="I5" s="22">
        <f>D5-G5</f>
        <v>0</v>
      </c>
      <c r="J5" s="22">
        <f>E5+F5+H5</f>
        <v>0</v>
      </c>
    </row>
    <row r="6" spans="3:10" x14ac:dyDescent="0.25">
      <c r="C6" s="8" t="s">
        <v>21</v>
      </c>
      <c r="D6" s="22"/>
      <c r="E6" s="22"/>
      <c r="F6" s="22"/>
      <c r="G6">
        <f>IF(ISERROR(VLOOKUP(C6,Investments!A:D,4,0)),0,VLOOKUP(C6,Investments!A:D,4,0))</f>
        <v>0</v>
      </c>
      <c r="H6" s="22">
        <f>IF(ISERROR(VLOOKUP(C6,Investments!A:K,11,0)),0,VLOOKUP(C6,Investments!A:K,11,0))</f>
        <v>0</v>
      </c>
      <c r="I6" s="22">
        <f t="shared" ref="I6:I56" si="0">D6-G6</f>
        <v>0</v>
      </c>
      <c r="J6" s="22">
        <f t="shared" ref="J6:J56" si="1">E6+F6+H6</f>
        <v>0</v>
      </c>
    </row>
    <row r="7" spans="3:10" x14ac:dyDescent="0.25">
      <c r="G7">
        <f>IF(ISERROR(VLOOKUP(C7,Investments!A:D,4,0)),0,VLOOKUP(C7,Investments!A:D,4,0))</f>
        <v>0</v>
      </c>
      <c r="H7" s="22">
        <f>IF(ISERROR(VLOOKUP(C7,Investments!A:K,11,0)),0,VLOOKUP(C7,Investments!A:K,11,0))</f>
        <v>0</v>
      </c>
      <c r="I7" s="22">
        <f t="shared" si="0"/>
        <v>0</v>
      </c>
      <c r="J7" s="22">
        <f t="shared" si="1"/>
        <v>0</v>
      </c>
    </row>
    <row r="8" spans="3:10" x14ac:dyDescent="0.25">
      <c r="G8">
        <f>IF(ISERROR(VLOOKUP(C8,Investments!A:D,4,0)),0,VLOOKUP(C8,Investments!A:D,4,0))</f>
        <v>0</v>
      </c>
      <c r="H8" s="22">
        <f>IF(ISERROR(VLOOKUP(C8,Investments!A:K,11,0)),0,VLOOKUP(C8,Investments!A:K,11,0))</f>
        <v>0</v>
      </c>
      <c r="I8" s="22">
        <f t="shared" si="0"/>
        <v>0</v>
      </c>
      <c r="J8" s="22">
        <f t="shared" si="1"/>
        <v>0</v>
      </c>
    </row>
    <row r="9" spans="3:10" x14ac:dyDescent="0.25">
      <c r="G9">
        <f>IF(ISERROR(VLOOKUP(C9,Investments!A:D,4,0)),0,VLOOKUP(C9,Investments!A:D,4,0))</f>
        <v>0</v>
      </c>
      <c r="H9" s="22">
        <f>IF(ISERROR(VLOOKUP(C9,Investments!A:K,11,0)),0,VLOOKUP(C9,Investments!A:K,11,0))</f>
        <v>0</v>
      </c>
      <c r="I9" s="22">
        <f t="shared" si="0"/>
        <v>0</v>
      </c>
      <c r="J9" s="22">
        <f t="shared" si="1"/>
        <v>0</v>
      </c>
    </row>
    <row r="10" spans="3:10" x14ac:dyDescent="0.25">
      <c r="G10">
        <f>IF(ISERROR(VLOOKUP(C10,Investments!A:D,4,0)),0,VLOOKUP(C10,Investments!A:D,4,0))</f>
        <v>0</v>
      </c>
      <c r="H10" s="22">
        <f>IF(ISERROR(VLOOKUP(C10,Investments!A:K,11,0)),0,VLOOKUP(C10,Investments!A:K,11,0))</f>
        <v>0</v>
      </c>
      <c r="I10" s="22">
        <f t="shared" si="0"/>
        <v>0</v>
      </c>
      <c r="J10" s="22">
        <f t="shared" si="1"/>
        <v>0</v>
      </c>
    </row>
    <row r="11" spans="3:10" x14ac:dyDescent="0.25">
      <c r="G11">
        <f>IF(ISERROR(VLOOKUP(C11,Investments!A:D,4,0)),0,VLOOKUP(C11,Investments!A:D,4,0))</f>
        <v>0</v>
      </c>
      <c r="H11" s="22">
        <f>IF(ISERROR(VLOOKUP(C11,Investments!A:K,11,0)),0,VLOOKUP(C11,Investments!A:K,11,0))</f>
        <v>0</v>
      </c>
      <c r="I11" s="22">
        <f t="shared" si="0"/>
        <v>0</v>
      </c>
      <c r="J11" s="22">
        <f t="shared" si="1"/>
        <v>0</v>
      </c>
    </row>
    <row r="12" spans="3:10" x14ac:dyDescent="0.25">
      <c r="G12">
        <f>IF(ISERROR(VLOOKUP(C12,Investments!A:D,4,0)),0,VLOOKUP(C12,Investments!A:D,4,0))</f>
        <v>0</v>
      </c>
      <c r="H12" s="22">
        <f>IF(ISERROR(VLOOKUP(C12,Investments!A:K,11,0)),0,VLOOKUP(C12,Investments!A:K,11,0))</f>
        <v>0</v>
      </c>
      <c r="I12" s="22">
        <f t="shared" si="0"/>
        <v>0</v>
      </c>
      <c r="J12" s="22">
        <f t="shared" si="1"/>
        <v>0</v>
      </c>
    </row>
    <row r="13" spans="3:10" x14ac:dyDescent="0.25">
      <c r="G13">
        <f>IF(ISERROR(VLOOKUP(C13,Investments!A:D,4,0)),0,VLOOKUP(C13,Investments!A:D,4,0))</f>
        <v>0</v>
      </c>
      <c r="H13" s="22">
        <f>IF(ISERROR(VLOOKUP(C13,Investments!A:K,11,0)),0,VLOOKUP(C13,Investments!A:K,11,0))</f>
        <v>0</v>
      </c>
      <c r="I13" s="22">
        <f t="shared" si="0"/>
        <v>0</v>
      </c>
      <c r="J13" s="22">
        <f t="shared" si="1"/>
        <v>0</v>
      </c>
    </row>
    <row r="14" spans="3:10" x14ac:dyDescent="0.25">
      <c r="G14">
        <f>IF(ISERROR(VLOOKUP(C14,Investments!A:D,4,0)),0,VLOOKUP(C14,Investments!A:D,4,0))</f>
        <v>0</v>
      </c>
      <c r="H14" s="22">
        <f>IF(ISERROR(VLOOKUP(C14,Investments!A:K,11,0)),0,VLOOKUP(C14,Investments!A:K,11,0))</f>
        <v>0</v>
      </c>
      <c r="I14" s="22">
        <f t="shared" si="0"/>
        <v>0</v>
      </c>
      <c r="J14" s="22">
        <f t="shared" si="1"/>
        <v>0</v>
      </c>
    </row>
    <row r="15" spans="3:10" x14ac:dyDescent="0.25">
      <c r="G15">
        <f>IF(ISERROR(VLOOKUP(C15,Investments!A:D,4,0)),0,VLOOKUP(C15,Investments!A:D,4,0))</f>
        <v>0</v>
      </c>
      <c r="H15" s="22">
        <f>IF(ISERROR(VLOOKUP(C15,Investments!A:K,11,0)),0,VLOOKUP(C15,Investments!A:K,11,0))</f>
        <v>0</v>
      </c>
      <c r="I15" s="22">
        <f t="shared" si="0"/>
        <v>0</v>
      </c>
      <c r="J15" s="22">
        <f t="shared" si="1"/>
        <v>0</v>
      </c>
    </row>
    <row r="16" spans="3:10" x14ac:dyDescent="0.25">
      <c r="G16">
        <f>IF(ISERROR(VLOOKUP(C16,Investments!A:D,4,0)),0,VLOOKUP(C16,Investments!A:D,4,0))</f>
        <v>0</v>
      </c>
      <c r="H16" s="22">
        <f>IF(ISERROR(VLOOKUP(C16,Investments!A:K,11,0)),0,VLOOKUP(C16,Investments!A:K,11,0))</f>
        <v>0</v>
      </c>
      <c r="I16" s="22">
        <f t="shared" si="0"/>
        <v>0</v>
      </c>
      <c r="J16" s="22">
        <f t="shared" si="1"/>
        <v>0</v>
      </c>
    </row>
    <row r="17" spans="7:10" x14ac:dyDescent="0.25">
      <c r="G17">
        <f>IF(ISERROR(VLOOKUP(C17,Investments!A:D,4,0)),0,VLOOKUP(C17,Investments!A:D,4,0))</f>
        <v>0</v>
      </c>
      <c r="H17" s="22">
        <f>IF(ISERROR(VLOOKUP(C17,Investments!A:K,11,0)),0,VLOOKUP(C17,Investments!A:K,11,0))</f>
        <v>0</v>
      </c>
      <c r="I17" s="22">
        <f t="shared" si="0"/>
        <v>0</v>
      </c>
      <c r="J17" s="22">
        <f t="shared" si="1"/>
        <v>0</v>
      </c>
    </row>
    <row r="18" spans="7:10" x14ac:dyDescent="0.25">
      <c r="G18">
        <f>IF(ISERROR(VLOOKUP(C18,Investments!A:D,4,0)),0,VLOOKUP(C18,Investments!A:D,4,0))</f>
        <v>0</v>
      </c>
      <c r="H18" s="22">
        <f>IF(ISERROR(VLOOKUP(C18,Investments!A:K,11,0)),0,VLOOKUP(C18,Investments!A:K,11,0))</f>
        <v>0</v>
      </c>
      <c r="I18" s="22">
        <f t="shared" si="0"/>
        <v>0</v>
      </c>
      <c r="J18" s="22">
        <f t="shared" si="1"/>
        <v>0</v>
      </c>
    </row>
    <row r="19" spans="7:10" x14ac:dyDescent="0.25">
      <c r="G19">
        <f>IF(ISERROR(VLOOKUP(C19,Investments!A:D,4,0)),0,VLOOKUP(C19,Investments!A:D,4,0))</f>
        <v>0</v>
      </c>
      <c r="H19" s="22">
        <f>IF(ISERROR(VLOOKUP(C19,Investments!A:K,11,0)),0,VLOOKUP(C19,Investments!A:K,11,0))</f>
        <v>0</v>
      </c>
      <c r="I19" s="22">
        <f t="shared" si="0"/>
        <v>0</v>
      </c>
      <c r="J19" s="22">
        <f t="shared" si="1"/>
        <v>0</v>
      </c>
    </row>
    <row r="20" spans="7:10" x14ac:dyDescent="0.25">
      <c r="G20">
        <f>IF(ISERROR(VLOOKUP(C20,Investments!A:D,4,0)),0,VLOOKUP(C20,Investments!A:D,4,0))</f>
        <v>0</v>
      </c>
      <c r="H20" s="22">
        <f>IF(ISERROR(VLOOKUP(C20,Investments!A:K,11,0)),0,VLOOKUP(C20,Investments!A:K,11,0))</f>
        <v>0</v>
      </c>
      <c r="I20" s="22">
        <f t="shared" si="0"/>
        <v>0</v>
      </c>
      <c r="J20" s="22">
        <f t="shared" si="1"/>
        <v>0</v>
      </c>
    </row>
    <row r="21" spans="7:10" x14ac:dyDescent="0.25">
      <c r="G21">
        <f>IF(ISERROR(VLOOKUP(C21,Investments!A:D,4,0)),0,VLOOKUP(C21,Investments!A:D,4,0))</f>
        <v>0</v>
      </c>
      <c r="H21" s="22">
        <f>IF(ISERROR(VLOOKUP(C21,Investments!A:K,11,0)),0,VLOOKUP(C21,Investments!A:K,11,0))</f>
        <v>0</v>
      </c>
      <c r="I21" s="22">
        <f t="shared" si="0"/>
        <v>0</v>
      </c>
      <c r="J21" s="22">
        <f t="shared" si="1"/>
        <v>0</v>
      </c>
    </row>
    <row r="22" spans="7:10" x14ac:dyDescent="0.25">
      <c r="G22">
        <f>IF(ISERROR(VLOOKUP(C22,Investments!A:D,4,0)),0,VLOOKUP(C22,Investments!A:D,4,0))</f>
        <v>0</v>
      </c>
      <c r="H22" s="22">
        <f>IF(ISERROR(VLOOKUP(C22,Investments!A:K,11,0)),0,VLOOKUP(C22,Investments!A:K,11,0))</f>
        <v>0</v>
      </c>
      <c r="I22" s="22">
        <f t="shared" si="0"/>
        <v>0</v>
      </c>
      <c r="J22" s="22">
        <f t="shared" si="1"/>
        <v>0</v>
      </c>
    </row>
    <row r="23" spans="7:10" x14ac:dyDescent="0.25">
      <c r="G23">
        <f>IF(ISERROR(VLOOKUP(C23,Investments!A:D,4,0)),0,VLOOKUP(C23,Investments!A:D,4,0))</f>
        <v>0</v>
      </c>
      <c r="H23" s="22">
        <f>IF(ISERROR(VLOOKUP(C23,Investments!A:K,11,0)),0,VLOOKUP(C23,Investments!A:K,11,0))</f>
        <v>0</v>
      </c>
      <c r="I23" s="22">
        <f t="shared" si="0"/>
        <v>0</v>
      </c>
      <c r="J23" s="22">
        <f t="shared" si="1"/>
        <v>0</v>
      </c>
    </row>
    <row r="24" spans="7:10" x14ac:dyDescent="0.25">
      <c r="G24">
        <f>IF(ISERROR(VLOOKUP(C24,Investments!A:D,4,0)),0,VLOOKUP(C24,Investments!A:D,4,0))</f>
        <v>0</v>
      </c>
      <c r="H24" s="22">
        <f>IF(ISERROR(VLOOKUP(C24,Investments!A:K,11,0)),0,VLOOKUP(C24,Investments!A:K,11,0))</f>
        <v>0</v>
      </c>
      <c r="I24" s="22">
        <f t="shared" si="0"/>
        <v>0</v>
      </c>
      <c r="J24" s="22">
        <f t="shared" si="1"/>
        <v>0</v>
      </c>
    </row>
    <row r="25" spans="7:10" x14ac:dyDescent="0.25">
      <c r="G25">
        <f>IF(ISERROR(VLOOKUP(C25,Investments!A:D,4,0)),0,VLOOKUP(C25,Investments!A:D,4,0))</f>
        <v>0</v>
      </c>
      <c r="H25" s="22">
        <f>IF(ISERROR(VLOOKUP(C25,Investments!A:K,11,0)),0,VLOOKUP(C25,Investments!A:K,11,0))</f>
        <v>0</v>
      </c>
      <c r="I25" s="22">
        <f t="shared" si="0"/>
        <v>0</v>
      </c>
      <c r="J25" s="22">
        <f t="shared" si="1"/>
        <v>0</v>
      </c>
    </row>
    <row r="26" spans="7:10" x14ac:dyDescent="0.25">
      <c r="G26">
        <f>IF(ISERROR(VLOOKUP(C26,Investments!A:D,4,0)),0,VLOOKUP(C26,Investments!A:D,4,0))</f>
        <v>0</v>
      </c>
      <c r="H26" s="22">
        <f>IF(ISERROR(VLOOKUP(C26,Investments!A:K,11,0)),0,VLOOKUP(C26,Investments!A:K,11,0))</f>
        <v>0</v>
      </c>
      <c r="I26" s="22">
        <f t="shared" si="0"/>
        <v>0</v>
      </c>
      <c r="J26" s="22">
        <f t="shared" si="1"/>
        <v>0</v>
      </c>
    </row>
    <row r="27" spans="7:10" x14ac:dyDescent="0.25">
      <c r="G27">
        <f>IF(ISERROR(VLOOKUP(C27,Investments!A:D,4,0)),0,VLOOKUP(C27,Investments!A:D,4,0))</f>
        <v>0</v>
      </c>
      <c r="H27" s="22">
        <f>IF(ISERROR(VLOOKUP(C27,Investments!A:K,11,0)),0,VLOOKUP(C27,Investments!A:K,11,0))</f>
        <v>0</v>
      </c>
      <c r="I27" s="22">
        <f t="shared" si="0"/>
        <v>0</v>
      </c>
      <c r="J27" s="22">
        <f t="shared" si="1"/>
        <v>0</v>
      </c>
    </row>
    <row r="28" spans="7:10" x14ac:dyDescent="0.25">
      <c r="G28">
        <f>IF(ISERROR(VLOOKUP(C28,Investments!A:D,4,0)),0,VLOOKUP(C28,Investments!A:D,4,0))</f>
        <v>0</v>
      </c>
      <c r="H28" s="22">
        <f>IF(ISERROR(VLOOKUP(C28,Investments!A:K,11,0)),0,VLOOKUP(C28,Investments!A:K,11,0))</f>
        <v>0</v>
      </c>
      <c r="I28" s="22">
        <f t="shared" si="0"/>
        <v>0</v>
      </c>
      <c r="J28" s="22">
        <f t="shared" si="1"/>
        <v>0</v>
      </c>
    </row>
    <row r="29" spans="7:10" x14ac:dyDescent="0.25">
      <c r="G29">
        <f>IF(ISERROR(VLOOKUP(C29,Investments!A:D,4,0)),0,VLOOKUP(C29,Investments!A:D,4,0))</f>
        <v>0</v>
      </c>
      <c r="H29" s="22">
        <f>IF(ISERROR(VLOOKUP(C29,Investments!A:K,11,0)),0,VLOOKUP(C29,Investments!A:K,11,0))</f>
        <v>0</v>
      </c>
      <c r="I29" s="22">
        <f t="shared" si="0"/>
        <v>0</v>
      </c>
      <c r="J29" s="22">
        <f t="shared" si="1"/>
        <v>0</v>
      </c>
    </row>
    <row r="30" spans="7:10" x14ac:dyDescent="0.25">
      <c r="G30">
        <f>IF(ISERROR(VLOOKUP(C30,Investments!A:D,4,0)),0,VLOOKUP(C30,Investments!A:D,4,0))</f>
        <v>0</v>
      </c>
      <c r="H30" s="22">
        <f>IF(ISERROR(VLOOKUP(C30,Investments!A:K,11,0)),0,VLOOKUP(C30,Investments!A:K,11,0))</f>
        <v>0</v>
      </c>
      <c r="I30" s="22">
        <f t="shared" si="0"/>
        <v>0</v>
      </c>
      <c r="J30" s="22">
        <f t="shared" si="1"/>
        <v>0</v>
      </c>
    </row>
    <row r="31" spans="7:10" x14ac:dyDescent="0.25">
      <c r="G31">
        <f>IF(ISERROR(VLOOKUP(C31,Investments!A:D,4,0)),0,VLOOKUP(C31,Investments!A:D,4,0))</f>
        <v>0</v>
      </c>
      <c r="H31" s="22">
        <f>IF(ISERROR(VLOOKUP(C31,Investments!A:K,11,0)),0,VLOOKUP(C31,Investments!A:K,11,0))</f>
        <v>0</v>
      </c>
      <c r="I31" s="22">
        <f t="shared" si="0"/>
        <v>0</v>
      </c>
      <c r="J31" s="22">
        <f t="shared" si="1"/>
        <v>0</v>
      </c>
    </row>
    <row r="32" spans="7:10" x14ac:dyDescent="0.25">
      <c r="G32">
        <f>IF(ISERROR(VLOOKUP(C32,Investments!A:D,4,0)),0,VLOOKUP(C32,Investments!A:D,4,0))</f>
        <v>0</v>
      </c>
      <c r="H32" s="22">
        <f>IF(ISERROR(VLOOKUP(C32,Investments!A:K,11,0)),0,VLOOKUP(C32,Investments!A:K,11,0))</f>
        <v>0</v>
      </c>
      <c r="I32" s="22">
        <f t="shared" si="0"/>
        <v>0</v>
      </c>
      <c r="J32" s="22">
        <f t="shared" si="1"/>
        <v>0</v>
      </c>
    </row>
    <row r="33" spans="7:10" x14ac:dyDescent="0.25">
      <c r="G33">
        <f>IF(ISERROR(VLOOKUP(C33,Investments!A:D,4,0)),0,VLOOKUP(C33,Investments!A:D,4,0))</f>
        <v>0</v>
      </c>
      <c r="H33" s="22">
        <f>IF(ISERROR(VLOOKUP(C33,Investments!A:K,11,0)),0,VLOOKUP(C33,Investments!A:K,11,0))</f>
        <v>0</v>
      </c>
      <c r="I33" s="22">
        <f t="shared" si="0"/>
        <v>0</v>
      </c>
      <c r="J33" s="22">
        <f t="shared" si="1"/>
        <v>0</v>
      </c>
    </row>
    <row r="34" spans="7:10" x14ac:dyDescent="0.25">
      <c r="G34">
        <f>IF(ISERROR(VLOOKUP(C34,Investments!A:D,4,0)),0,VLOOKUP(C34,Investments!A:D,4,0))</f>
        <v>0</v>
      </c>
      <c r="H34" s="22">
        <f>IF(ISERROR(VLOOKUP(C34,Investments!A:K,11,0)),0,VLOOKUP(C34,Investments!A:K,11,0))</f>
        <v>0</v>
      </c>
      <c r="I34" s="22">
        <f t="shared" si="0"/>
        <v>0</v>
      </c>
      <c r="J34" s="22">
        <f t="shared" si="1"/>
        <v>0</v>
      </c>
    </row>
    <row r="35" spans="7:10" x14ac:dyDescent="0.25">
      <c r="G35">
        <f>IF(ISERROR(VLOOKUP(C35,Investments!A:D,4,0)),0,VLOOKUP(C35,Investments!A:D,4,0))</f>
        <v>0</v>
      </c>
      <c r="H35" s="22">
        <f>IF(ISERROR(VLOOKUP(C35,Investments!A:K,11,0)),0,VLOOKUP(C35,Investments!A:K,11,0))</f>
        <v>0</v>
      </c>
      <c r="I35" s="22">
        <f t="shared" si="0"/>
        <v>0</v>
      </c>
      <c r="J35" s="22">
        <f t="shared" si="1"/>
        <v>0</v>
      </c>
    </row>
    <row r="36" spans="7:10" x14ac:dyDescent="0.25">
      <c r="G36">
        <f>IF(ISERROR(VLOOKUP(C36,Investments!A:D,4,0)),0,VLOOKUP(C36,Investments!A:D,4,0))</f>
        <v>0</v>
      </c>
      <c r="H36" s="22">
        <f>IF(ISERROR(VLOOKUP(C36,Investments!A:K,11,0)),0,VLOOKUP(C36,Investments!A:K,11,0))</f>
        <v>0</v>
      </c>
      <c r="I36" s="22">
        <f t="shared" si="0"/>
        <v>0</v>
      </c>
      <c r="J36" s="22">
        <f t="shared" si="1"/>
        <v>0</v>
      </c>
    </row>
    <row r="37" spans="7:10" x14ac:dyDescent="0.25">
      <c r="G37">
        <f>IF(ISERROR(VLOOKUP(C37,Investments!A:D,4,0)),0,VLOOKUP(C37,Investments!A:D,4,0))</f>
        <v>0</v>
      </c>
      <c r="H37" s="22">
        <f>IF(ISERROR(VLOOKUP(C37,Investments!A:K,11,0)),0,VLOOKUP(C37,Investments!A:K,11,0))</f>
        <v>0</v>
      </c>
      <c r="I37" s="22">
        <f t="shared" si="0"/>
        <v>0</v>
      </c>
      <c r="J37" s="22">
        <f t="shared" si="1"/>
        <v>0</v>
      </c>
    </row>
    <row r="38" spans="7:10" x14ac:dyDescent="0.25">
      <c r="G38">
        <f>IF(ISERROR(VLOOKUP(C38,Investments!A:D,4,0)),0,VLOOKUP(C38,Investments!A:D,4,0))</f>
        <v>0</v>
      </c>
      <c r="H38" s="22">
        <f>IF(ISERROR(VLOOKUP(C38,Investments!A:K,11,0)),0,VLOOKUP(C38,Investments!A:K,11,0))</f>
        <v>0</v>
      </c>
      <c r="I38" s="22">
        <f t="shared" si="0"/>
        <v>0</v>
      </c>
      <c r="J38" s="22">
        <f t="shared" si="1"/>
        <v>0</v>
      </c>
    </row>
    <row r="39" spans="7:10" x14ac:dyDescent="0.25">
      <c r="G39">
        <f>IF(ISERROR(VLOOKUP(C39,Investments!A:D,4,0)),0,VLOOKUP(C39,Investments!A:D,4,0))</f>
        <v>0</v>
      </c>
      <c r="H39" s="22">
        <f>IF(ISERROR(VLOOKUP(C39,Investments!A:K,11,0)),0,VLOOKUP(C39,Investments!A:K,11,0))</f>
        <v>0</v>
      </c>
      <c r="I39" s="22">
        <f t="shared" si="0"/>
        <v>0</v>
      </c>
      <c r="J39" s="22">
        <f t="shared" si="1"/>
        <v>0</v>
      </c>
    </row>
    <row r="40" spans="7:10" x14ac:dyDescent="0.25">
      <c r="G40">
        <f>IF(ISERROR(VLOOKUP(C40,Investments!A:D,4,0)),0,VLOOKUP(C40,Investments!A:D,4,0))</f>
        <v>0</v>
      </c>
      <c r="H40" s="22">
        <f>IF(ISERROR(VLOOKUP(C40,Investments!A:K,11,0)),0,VLOOKUP(C40,Investments!A:K,11,0))</f>
        <v>0</v>
      </c>
      <c r="I40" s="22">
        <f t="shared" si="0"/>
        <v>0</v>
      </c>
      <c r="J40" s="22">
        <f t="shared" si="1"/>
        <v>0</v>
      </c>
    </row>
    <row r="41" spans="7:10" x14ac:dyDescent="0.25">
      <c r="G41">
        <f>IF(ISERROR(VLOOKUP(C41,Investments!A:D,4,0)),0,VLOOKUP(C41,Investments!A:D,4,0))</f>
        <v>0</v>
      </c>
      <c r="H41" s="22">
        <f>IF(ISERROR(VLOOKUP(C41,Investments!A:K,11,0)),0,VLOOKUP(C41,Investments!A:K,11,0))</f>
        <v>0</v>
      </c>
      <c r="I41" s="22">
        <f t="shared" si="0"/>
        <v>0</v>
      </c>
      <c r="J41" s="22">
        <f t="shared" si="1"/>
        <v>0</v>
      </c>
    </row>
    <row r="42" spans="7:10" x14ac:dyDescent="0.25">
      <c r="G42">
        <f>IF(ISERROR(VLOOKUP(C42,Investments!A:D,4,0)),0,VLOOKUP(C42,Investments!A:D,4,0))</f>
        <v>0</v>
      </c>
      <c r="H42" s="22">
        <f>IF(ISERROR(VLOOKUP(C42,Investments!A:K,11,0)),0,VLOOKUP(C42,Investments!A:K,11,0))</f>
        <v>0</v>
      </c>
      <c r="I42" s="22">
        <f t="shared" si="0"/>
        <v>0</v>
      </c>
      <c r="J42" s="22">
        <f t="shared" si="1"/>
        <v>0</v>
      </c>
    </row>
    <row r="43" spans="7:10" x14ac:dyDescent="0.25">
      <c r="G43">
        <f>IF(ISERROR(VLOOKUP(C43,Investments!A:D,4,0)),0,VLOOKUP(C43,Investments!A:D,4,0))</f>
        <v>0</v>
      </c>
      <c r="H43" s="22">
        <f>IF(ISERROR(VLOOKUP(C43,Investments!A:K,11,0)),0,VLOOKUP(C43,Investments!A:K,11,0))</f>
        <v>0</v>
      </c>
      <c r="I43" s="22">
        <f t="shared" si="0"/>
        <v>0</v>
      </c>
      <c r="J43" s="22">
        <f t="shared" si="1"/>
        <v>0</v>
      </c>
    </row>
    <row r="44" spans="7:10" x14ac:dyDescent="0.25">
      <c r="G44">
        <f>IF(ISERROR(VLOOKUP(C44,Investments!A:D,4,0)),0,VLOOKUP(C44,Investments!A:D,4,0))</f>
        <v>0</v>
      </c>
      <c r="H44" s="22">
        <f>IF(ISERROR(VLOOKUP(C44,Investments!A:K,11,0)),0,VLOOKUP(C44,Investments!A:K,11,0))</f>
        <v>0</v>
      </c>
      <c r="I44" s="22">
        <f t="shared" si="0"/>
        <v>0</v>
      </c>
      <c r="J44" s="22">
        <f t="shared" si="1"/>
        <v>0</v>
      </c>
    </row>
    <row r="45" spans="7:10" x14ac:dyDescent="0.25">
      <c r="G45">
        <f>IF(ISERROR(VLOOKUP(C45,Investments!A:D,4,0)),0,VLOOKUP(C45,Investments!A:D,4,0))</f>
        <v>0</v>
      </c>
      <c r="H45" s="22">
        <f>IF(ISERROR(VLOOKUP(C45,Investments!A:K,11,0)),0,VLOOKUP(C45,Investments!A:K,11,0))</f>
        <v>0</v>
      </c>
      <c r="I45" s="22">
        <f t="shared" si="0"/>
        <v>0</v>
      </c>
      <c r="J45" s="22">
        <f t="shared" si="1"/>
        <v>0</v>
      </c>
    </row>
    <row r="46" spans="7:10" x14ac:dyDescent="0.25">
      <c r="G46">
        <f>IF(ISERROR(VLOOKUP(C46,Investments!A:D,4,0)),0,VLOOKUP(C46,Investments!A:D,4,0))</f>
        <v>0</v>
      </c>
      <c r="H46" s="22">
        <f>IF(ISERROR(VLOOKUP(C46,Investments!A:K,11,0)),0,VLOOKUP(C46,Investments!A:K,11,0))</f>
        <v>0</v>
      </c>
      <c r="I46" s="22">
        <f t="shared" si="0"/>
        <v>0</v>
      </c>
      <c r="J46" s="22">
        <f t="shared" si="1"/>
        <v>0</v>
      </c>
    </row>
    <row r="47" spans="7:10" x14ac:dyDescent="0.25">
      <c r="G47">
        <f>IF(ISERROR(VLOOKUP(C47,Investments!A:D,4,0)),0,VLOOKUP(C47,Investments!A:D,4,0))</f>
        <v>0</v>
      </c>
      <c r="H47" s="22">
        <f>IF(ISERROR(VLOOKUP(C47,Investments!A:K,11,0)),0,VLOOKUP(C47,Investments!A:K,11,0))</f>
        <v>0</v>
      </c>
      <c r="I47" s="22">
        <f t="shared" si="0"/>
        <v>0</v>
      </c>
      <c r="J47" s="22">
        <f t="shared" si="1"/>
        <v>0</v>
      </c>
    </row>
    <row r="48" spans="7:10" x14ac:dyDescent="0.25">
      <c r="G48">
        <f>IF(ISERROR(VLOOKUP(C48,Investments!A:D,4,0)),0,VLOOKUP(C48,Investments!A:D,4,0))</f>
        <v>0</v>
      </c>
      <c r="H48" s="22">
        <f>IF(ISERROR(VLOOKUP(C48,Investments!A:K,11,0)),0,VLOOKUP(C48,Investments!A:K,11,0))</f>
        <v>0</v>
      </c>
      <c r="I48" s="22">
        <f t="shared" si="0"/>
        <v>0</v>
      </c>
      <c r="J48" s="22">
        <f t="shared" si="1"/>
        <v>0</v>
      </c>
    </row>
    <row r="49" spans="7:10" x14ac:dyDescent="0.25">
      <c r="G49">
        <f>IF(ISERROR(VLOOKUP(C49,Investments!A:D,4,0)),0,VLOOKUP(C49,Investments!A:D,4,0))</f>
        <v>0</v>
      </c>
      <c r="H49" s="22">
        <f>IF(ISERROR(VLOOKUP(C49,Investments!A:K,11,0)),0,VLOOKUP(C49,Investments!A:K,11,0))</f>
        <v>0</v>
      </c>
      <c r="I49" s="22">
        <f t="shared" si="0"/>
        <v>0</v>
      </c>
      <c r="J49" s="22">
        <f t="shared" si="1"/>
        <v>0</v>
      </c>
    </row>
    <row r="50" spans="7:10" x14ac:dyDescent="0.25">
      <c r="G50">
        <f>IF(ISERROR(VLOOKUP(C50,Investments!A:D,4,0)),0,VLOOKUP(C50,Investments!A:D,4,0))</f>
        <v>0</v>
      </c>
      <c r="H50" s="22">
        <f>IF(ISERROR(VLOOKUP(C50,Investments!A:K,11,0)),0,VLOOKUP(C50,Investments!A:K,11,0))</f>
        <v>0</v>
      </c>
      <c r="I50" s="22">
        <f t="shared" si="0"/>
        <v>0</v>
      </c>
      <c r="J50" s="22">
        <f t="shared" si="1"/>
        <v>0</v>
      </c>
    </row>
    <row r="51" spans="7:10" x14ac:dyDescent="0.25">
      <c r="G51">
        <f>IF(ISERROR(VLOOKUP(C51,Investments!A:D,4,0)),0,VLOOKUP(C51,Investments!A:D,4,0))</f>
        <v>0</v>
      </c>
      <c r="H51" s="22">
        <f>IF(ISERROR(VLOOKUP(C51,Investments!A:K,11,0)),0,VLOOKUP(C51,Investments!A:K,11,0))</f>
        <v>0</v>
      </c>
      <c r="I51" s="22">
        <f t="shared" si="0"/>
        <v>0</v>
      </c>
      <c r="J51" s="22">
        <f t="shared" si="1"/>
        <v>0</v>
      </c>
    </row>
    <row r="52" spans="7:10" x14ac:dyDescent="0.25">
      <c r="G52">
        <f>IF(ISERROR(VLOOKUP(C52,Investments!A:D,4,0)),0,VLOOKUP(C52,Investments!A:D,4,0))</f>
        <v>0</v>
      </c>
      <c r="H52" s="22">
        <f>IF(ISERROR(VLOOKUP(C52,Investments!A:K,11,0)),0,VLOOKUP(C52,Investments!A:K,11,0))</f>
        <v>0</v>
      </c>
      <c r="I52" s="22">
        <f t="shared" si="0"/>
        <v>0</v>
      </c>
      <c r="J52" s="22">
        <f t="shared" si="1"/>
        <v>0</v>
      </c>
    </row>
    <row r="53" spans="7:10" x14ac:dyDescent="0.25">
      <c r="G53">
        <f>IF(ISERROR(VLOOKUP(C53,Investments!A:D,4,0)),0,VLOOKUP(C53,Investments!A:D,4,0))</f>
        <v>0</v>
      </c>
      <c r="H53" s="22">
        <f>IF(ISERROR(VLOOKUP(C53,Investments!A:K,11,0)),0,VLOOKUP(C53,Investments!A:K,11,0))</f>
        <v>0</v>
      </c>
      <c r="I53" s="22">
        <f t="shared" si="0"/>
        <v>0</v>
      </c>
      <c r="J53" s="22">
        <f t="shared" si="1"/>
        <v>0</v>
      </c>
    </row>
    <row r="54" spans="7:10" x14ac:dyDescent="0.25">
      <c r="G54">
        <f>IF(ISERROR(VLOOKUP(C54,Investments!A:D,4,0)),0,VLOOKUP(C54,Investments!A:D,4,0))</f>
        <v>0</v>
      </c>
      <c r="H54" s="22">
        <f>IF(ISERROR(VLOOKUP(C54,Investments!A:K,11,0)),0,VLOOKUP(C54,Investments!A:K,11,0))</f>
        <v>0</v>
      </c>
      <c r="I54" s="22">
        <f t="shared" si="0"/>
        <v>0</v>
      </c>
      <c r="J54" s="22">
        <f t="shared" si="1"/>
        <v>0</v>
      </c>
    </row>
    <row r="55" spans="7:10" x14ac:dyDescent="0.25">
      <c r="G55">
        <f>IF(ISERROR(VLOOKUP(C55,Investments!A:D,4,0)),0,VLOOKUP(C55,Investments!A:D,4,0))</f>
        <v>0</v>
      </c>
      <c r="H55" s="22">
        <f>IF(ISERROR(VLOOKUP(C55,Investments!A:K,11,0)),0,VLOOKUP(C55,Investments!A:K,11,0))</f>
        <v>0</v>
      </c>
      <c r="I55" s="22">
        <f t="shared" si="0"/>
        <v>0</v>
      </c>
      <c r="J55" s="22">
        <f t="shared" si="1"/>
        <v>0</v>
      </c>
    </row>
    <row r="56" spans="7:10" x14ac:dyDescent="0.25">
      <c r="G56">
        <f>IF(ISERROR(VLOOKUP(C56,Investments!A:D,4,0)),0,VLOOKUP(C56,Investments!A:D,4,0))</f>
        <v>0</v>
      </c>
      <c r="H56" s="22">
        <f>IF(ISERROR(VLOOKUP(C56,Investments!A:K,11,0)),0,VLOOKUP(C56,Investments!A:K,11,0))</f>
        <v>0</v>
      </c>
      <c r="I56" s="22">
        <f t="shared" si="0"/>
        <v>0</v>
      </c>
      <c r="J56" s="22">
        <f t="shared" si="1"/>
        <v>0</v>
      </c>
    </row>
    <row r="57" spans="7:10" x14ac:dyDescent="0.25">
      <c r="H57" s="22"/>
      <c r="I57" s="22"/>
      <c r="J57" s="22"/>
    </row>
    <row r="58" spans="7:10" x14ac:dyDescent="0.25">
      <c r="H58" s="22"/>
      <c r="I58" s="22"/>
      <c r="J58" s="22"/>
    </row>
    <row r="59" spans="7:10" x14ac:dyDescent="0.25">
      <c r="H59" s="22"/>
      <c r="I59" s="22"/>
      <c r="J59" s="22"/>
    </row>
    <row r="60" spans="7:10" x14ac:dyDescent="0.25">
      <c r="I60" s="22"/>
      <c r="J60" s="22"/>
    </row>
    <row r="61" spans="7:10" x14ac:dyDescent="0.25">
      <c r="I61" s="22"/>
      <c r="J61" s="22"/>
    </row>
    <row r="62" spans="7:10" x14ac:dyDescent="0.25">
      <c r="I62" s="22"/>
      <c r="J62" s="22"/>
    </row>
  </sheetData>
  <conditionalFormatting sqref="I5:I58">
    <cfRule type="expression" dxfId="1" priority="4">
      <formula>I5&lt;&gt;0</formula>
    </cfRule>
  </conditionalFormatting>
  <conditionalFormatting sqref="J5:J58">
    <cfRule type="expression" dxfId="0" priority="1">
      <formula>ABS(J5)&gt;5000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A17D-C00C-4303-9AA6-760E76B47255}">
  <sheetPr codeName="Sheet7"/>
  <dimension ref="A1:I4101"/>
  <sheetViews>
    <sheetView workbookViewId="0">
      <pane ySplit="1" topLeftCell="A2" activePane="bottomLeft" state="frozen"/>
      <selection pane="bottomLeft" activeCell="A2" sqref="A2"/>
    </sheetView>
  </sheetViews>
  <sheetFormatPr defaultRowHeight="13.2" x14ac:dyDescent="0.25"/>
  <cols>
    <col min="1" max="1" width="12" style="1" bestFit="1" customWidth="1"/>
    <col min="2" max="2" width="66" customWidth="1"/>
    <col min="3" max="3" width="12.44140625" bestFit="1" customWidth="1"/>
    <col min="4" max="4" width="10" bestFit="1" customWidth="1"/>
    <col min="5" max="5" width="10.6640625" bestFit="1" customWidth="1"/>
    <col min="6" max="6" width="7.6640625" bestFit="1" customWidth="1"/>
    <col min="7" max="7" width="12" bestFit="1" customWidth="1"/>
    <col min="8" max="8" width="44.109375" customWidth="1"/>
    <col min="9" max="9" width="26.88671875" bestFit="1" customWidth="1"/>
    <col min="10" max="10" width="12.88671875" bestFit="1" customWidth="1"/>
  </cols>
  <sheetData>
    <row r="1" spans="1:9" x14ac:dyDescent="0.25">
      <c r="A1" s="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17</v>
      </c>
      <c r="I1" t="s">
        <v>18</v>
      </c>
    </row>
    <row r="2" spans="1:9" x14ac:dyDescent="0.25">
      <c r="A2"/>
    </row>
    <row r="3" spans="1:9" x14ac:dyDescent="0.25">
      <c r="A3"/>
    </row>
    <row r="4" spans="1:9" x14ac:dyDescent="0.25">
      <c r="A4"/>
    </row>
    <row r="5" spans="1:9" x14ac:dyDescent="0.25">
      <c r="A5"/>
    </row>
    <row r="6" spans="1:9" x14ac:dyDescent="0.25">
      <c r="A6"/>
    </row>
    <row r="7" spans="1:9" x14ac:dyDescent="0.25">
      <c r="A7"/>
    </row>
    <row r="8" spans="1:9" x14ac:dyDescent="0.25">
      <c r="A8"/>
    </row>
    <row r="9" spans="1:9" x14ac:dyDescent="0.25">
      <c r="A9"/>
    </row>
    <row r="10" spans="1:9" x14ac:dyDescent="0.25">
      <c r="A10"/>
    </row>
    <row r="11" spans="1:9" x14ac:dyDescent="0.25">
      <c r="A11"/>
    </row>
    <row r="12" spans="1:9" x14ac:dyDescent="0.25">
      <c r="A12"/>
    </row>
    <row r="13" spans="1:9" x14ac:dyDescent="0.25">
      <c r="A13"/>
    </row>
    <row r="14" spans="1:9" x14ac:dyDescent="0.25">
      <c r="A14"/>
    </row>
    <row r="15" spans="1:9" x14ac:dyDescent="0.25">
      <c r="A15"/>
    </row>
    <row r="16" spans="1:9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</sheetData>
  <autoFilter ref="A1:I4036" xr:uid="{6840A17D-C00C-4303-9AA6-760E76B47255}"/>
  <sortState xmlns:xlrd2="http://schemas.microsoft.com/office/spreadsheetml/2017/richdata2" ref="A4087:E4101">
    <sortCondition ref="A4087:A410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3FD7C-4A69-437D-B843-B5F4C339F1F2}">
  <sheetPr codeName="Sheet2"/>
  <dimension ref="A1:P13"/>
  <sheetViews>
    <sheetView workbookViewId="0">
      <pane ySplit="1" topLeftCell="A2" activePane="bottomLeft" state="frozen"/>
      <selection pane="bottomLeft" activeCell="B2" sqref="B2"/>
    </sheetView>
  </sheetViews>
  <sheetFormatPr defaultRowHeight="13.2" x14ac:dyDescent="0.25"/>
  <cols>
    <col min="1" max="1" width="26.88671875" style="5" bestFit="1" customWidth="1"/>
    <col min="2" max="2" width="52.33203125" style="5" bestFit="1" customWidth="1"/>
    <col min="3" max="3" width="8.5546875" style="5" bestFit="1" customWidth="1"/>
    <col min="4" max="4" width="12.88671875" style="5" bestFit="1" customWidth="1"/>
    <col min="5" max="5" width="9.77734375" style="5" bestFit="1" customWidth="1"/>
    <col min="6" max="6" width="14.21875" style="5" bestFit="1" customWidth="1"/>
    <col min="7" max="7" width="11" style="5" bestFit="1" customWidth="1"/>
    <col min="8" max="8" width="10.109375" style="5" bestFit="1" customWidth="1"/>
    <col min="9" max="9" width="7.88671875" style="5" bestFit="1" customWidth="1"/>
    <col min="10" max="10" width="12.77734375" style="5" bestFit="1" customWidth="1"/>
    <col min="11" max="12" width="11" style="5" bestFit="1" customWidth="1"/>
    <col min="13" max="13" width="14.6640625" style="5" bestFit="1" customWidth="1"/>
    <col min="14" max="14" width="15.6640625" style="5" bestFit="1" customWidth="1"/>
    <col min="15" max="15" width="13.21875" style="5" bestFit="1" customWidth="1"/>
    <col min="16" max="16" width="10" style="5" bestFit="1" customWidth="1"/>
  </cols>
  <sheetData>
    <row r="1" spans="1:16" x14ac:dyDescent="0.25">
      <c r="A1" s="28" t="s">
        <v>18</v>
      </c>
      <c r="B1" s="36" t="s">
        <v>25</v>
      </c>
      <c r="C1" s="36" t="s">
        <v>26</v>
      </c>
      <c r="D1" s="36" t="s">
        <v>27</v>
      </c>
      <c r="E1" s="36" t="s">
        <v>28</v>
      </c>
      <c r="F1" s="36" t="s">
        <v>29</v>
      </c>
      <c r="G1" s="36" t="s">
        <v>30</v>
      </c>
      <c r="H1" s="36" t="s">
        <v>31</v>
      </c>
      <c r="I1" s="36" t="s">
        <v>32</v>
      </c>
      <c r="J1" s="36" t="s">
        <v>33</v>
      </c>
      <c r="K1" s="36" t="s">
        <v>34</v>
      </c>
      <c r="L1" s="36" t="s">
        <v>35</v>
      </c>
      <c r="M1" s="36" t="s">
        <v>36</v>
      </c>
      <c r="N1" s="36" t="s">
        <v>37</v>
      </c>
      <c r="O1" s="36" t="s">
        <v>38</v>
      </c>
      <c r="P1" s="36" t="s">
        <v>39</v>
      </c>
    </row>
    <row r="2" spans="1:16" x14ac:dyDescent="0.25">
      <c r="A2" s="38" t="e">
        <f>VLOOKUP(TRIM(B2),MapConsolidatedDetails!$A:$B,2,FALSE)</f>
        <v>#N/A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s="39" t="e">
        <f>VLOOKUP(TRIM(B3),MapConsolidatedDetails!$A:$B,2,FALSE)</f>
        <v>#N/A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</row>
    <row r="4" spans="1:16" x14ac:dyDescent="0.25">
      <c r="A4" s="39" t="e">
        <f>VLOOKUP(TRIM(B4),MapConsolidatedDetails!$A:$B,2,FALSE)</f>
        <v>#N/A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</row>
    <row r="5" spans="1:16" x14ac:dyDescent="0.25">
      <c r="A5" s="39" t="e">
        <f>VLOOKUP(TRIM(B5),MapConsolidatedDetails!$A:$B,2,FALSE)</f>
        <v>#N/A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</row>
    <row r="6" spans="1:16" x14ac:dyDescent="0.25">
      <c r="A6" s="39" t="e">
        <f>VLOOKUP(TRIM(B6),MapConsolidatedDetails!$A:$B,2,FALSE)</f>
        <v>#N/A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</row>
    <row r="7" spans="1:16" x14ac:dyDescent="0.25">
      <c r="A7" s="39" t="e">
        <f>VLOOKUP(TRIM(B7),MapConsolidatedDetails!$A:$B,2,FALSE)</f>
        <v>#N/A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6" x14ac:dyDescent="0.25">
      <c r="A8" s="39" t="e">
        <f>VLOOKUP(TRIM(B8),MapConsolidatedDetails!$A:$B,2,FALSE)</f>
        <v>#N/A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1:16" x14ac:dyDescent="0.25">
      <c r="A9" s="39" t="e">
        <f>VLOOKUP(TRIM(B9),MapConsolidatedDetails!$A:$B,2,FALSE)</f>
        <v>#N/A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1:16" x14ac:dyDescent="0.25">
      <c r="A10" s="39" t="e">
        <f>VLOOKUP(TRIM(B10),MapConsolidatedDetails!$A:$B,2,FALSE)</f>
        <v>#N/A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6" x14ac:dyDescent="0.25">
      <c r="A11" s="39" t="e">
        <f>VLOOKUP(TRIM(B11),MapConsolidatedDetails!$A:$B,2,FALSE)</f>
        <v>#N/A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</row>
    <row r="12" spans="1:16" x14ac:dyDescent="0.25">
      <c r="A12" s="39" t="e">
        <f>VLOOKUP(TRIM(B12),MapConsolidatedDetails!$A:$B,2,FALSE)</f>
        <v>#N/A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</row>
    <row r="13" spans="1:16" x14ac:dyDescent="0.25">
      <c r="A13" s="39" t="e">
        <f>VLOOKUP(TRIM(B13),MapConsolidatedDetails!$A:$B,2,FALSE)</f>
        <v>#N/A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C8B0E-6514-4EA6-8225-91D202184679}">
  <sheetPr codeName="Sheet8"/>
  <dimension ref="A1:C35"/>
  <sheetViews>
    <sheetView workbookViewId="0">
      <pane ySplit="2" topLeftCell="A3" activePane="bottomLeft" state="frozen"/>
      <selection pane="bottomLeft" activeCell="A3" sqref="A3"/>
    </sheetView>
  </sheetViews>
  <sheetFormatPr defaultRowHeight="13.2" customHeight="1" x14ac:dyDescent="0.25"/>
  <cols>
    <col min="1" max="1" width="52.33203125" style="5" bestFit="1" customWidth="1"/>
    <col min="2" max="2" width="45" style="5" customWidth="1"/>
    <col min="3" max="3" width="8.88671875" style="5"/>
  </cols>
  <sheetData>
    <row r="1" spans="1:3" ht="13.2" customHeight="1" x14ac:dyDescent="0.25">
      <c r="A1" s="21" t="s">
        <v>40</v>
      </c>
    </row>
    <row r="2" spans="1:3" ht="13.2" customHeight="1" x14ac:dyDescent="0.3">
      <c r="A2" s="29" t="s">
        <v>7</v>
      </c>
      <c r="B2" s="29" t="s">
        <v>17</v>
      </c>
      <c r="C2" s="16"/>
    </row>
    <row r="3" spans="1:3" ht="13.2" customHeight="1" x14ac:dyDescent="0.3">
      <c r="A3" s="30"/>
      <c r="B3" s="30"/>
    </row>
    <row r="4" spans="1:3" ht="13.2" customHeight="1" x14ac:dyDescent="0.3">
      <c r="A4" s="30"/>
      <c r="B4" s="30"/>
    </row>
    <row r="5" spans="1:3" ht="13.2" customHeight="1" x14ac:dyDescent="0.3">
      <c r="A5" s="30"/>
      <c r="B5" s="30"/>
    </row>
    <row r="6" spans="1:3" ht="13.2" customHeight="1" x14ac:dyDescent="0.3">
      <c r="A6" s="30"/>
      <c r="B6" s="30"/>
    </row>
    <row r="7" spans="1:3" ht="13.2" customHeight="1" x14ac:dyDescent="0.3">
      <c r="A7" s="30"/>
      <c r="B7" s="30"/>
    </row>
    <row r="8" spans="1:3" ht="13.2" customHeight="1" x14ac:dyDescent="0.3">
      <c r="A8" s="30"/>
      <c r="B8" s="30"/>
    </row>
    <row r="9" spans="1:3" ht="13.2" customHeight="1" x14ac:dyDescent="0.3">
      <c r="A9" s="30"/>
      <c r="B9" s="30"/>
    </row>
    <row r="10" spans="1:3" ht="13.2" customHeight="1" x14ac:dyDescent="0.3">
      <c r="A10" s="30"/>
      <c r="B10" s="30"/>
    </row>
    <row r="11" spans="1:3" ht="13.2" customHeight="1" x14ac:dyDescent="0.3">
      <c r="A11" s="30"/>
      <c r="B11" s="30"/>
    </row>
    <row r="12" spans="1:3" ht="13.2" customHeight="1" x14ac:dyDescent="0.3">
      <c r="A12" s="30"/>
      <c r="B12" s="30"/>
    </row>
    <row r="13" spans="1:3" ht="13.2" customHeight="1" x14ac:dyDescent="0.3">
      <c r="A13" s="30"/>
      <c r="B13" s="30"/>
    </row>
    <row r="14" spans="1:3" ht="13.2" customHeight="1" x14ac:dyDescent="0.3">
      <c r="A14" s="30"/>
      <c r="B14" s="30"/>
    </row>
    <row r="15" spans="1:3" ht="13.2" customHeight="1" x14ac:dyDescent="0.3">
      <c r="A15" s="30"/>
      <c r="B15" s="30"/>
    </row>
    <row r="16" spans="1:3" ht="13.2" customHeight="1" x14ac:dyDescent="0.3">
      <c r="A16" s="30"/>
      <c r="B16" s="30"/>
    </row>
    <row r="17" spans="1:2" ht="13.2" customHeight="1" x14ac:dyDescent="0.3">
      <c r="A17" s="30"/>
      <c r="B17" s="30"/>
    </row>
    <row r="18" spans="1:2" ht="13.2" customHeight="1" x14ac:dyDescent="0.3">
      <c r="A18" s="30"/>
      <c r="B18" s="30"/>
    </row>
    <row r="19" spans="1:2" ht="13.2" customHeight="1" x14ac:dyDescent="0.3">
      <c r="A19" s="30"/>
      <c r="B19" s="30"/>
    </row>
    <row r="20" spans="1:2" ht="13.2" customHeight="1" x14ac:dyDescent="0.3">
      <c r="A20" s="30"/>
      <c r="B20" s="30"/>
    </row>
    <row r="21" spans="1:2" ht="13.2" customHeight="1" x14ac:dyDescent="0.3">
      <c r="A21" s="30"/>
      <c r="B21" s="30"/>
    </row>
    <row r="22" spans="1:2" ht="13.2" customHeight="1" x14ac:dyDescent="0.3">
      <c r="A22" s="30"/>
      <c r="B22" s="30"/>
    </row>
    <row r="23" spans="1:2" ht="13.2" customHeight="1" x14ac:dyDescent="0.3">
      <c r="B23" s="31"/>
    </row>
    <row r="24" spans="1:2" ht="13.2" customHeight="1" x14ac:dyDescent="0.3">
      <c r="B24" s="30"/>
    </row>
    <row r="25" spans="1:2" ht="13.2" customHeight="1" x14ac:dyDescent="0.3">
      <c r="B25" s="31"/>
    </row>
    <row r="26" spans="1:2" ht="13.2" customHeight="1" x14ac:dyDescent="0.3">
      <c r="B26" s="30"/>
    </row>
    <row r="27" spans="1:2" ht="13.2" customHeight="1" x14ac:dyDescent="0.3">
      <c r="B27" s="30"/>
    </row>
    <row r="28" spans="1:2" ht="13.2" customHeight="1" x14ac:dyDescent="0.3">
      <c r="B28" s="30"/>
    </row>
    <row r="29" spans="1:2" ht="13.2" customHeight="1" x14ac:dyDescent="0.3">
      <c r="B29" s="31"/>
    </row>
    <row r="31" spans="1:2" ht="13.2" customHeight="1" x14ac:dyDescent="0.3">
      <c r="A31" s="30"/>
      <c r="B31" s="30"/>
    </row>
    <row r="32" spans="1:2" ht="13.2" customHeight="1" x14ac:dyDescent="0.3">
      <c r="A32" s="32"/>
      <c r="B32" s="32"/>
    </row>
    <row r="33" spans="1:2" ht="13.2" customHeight="1" x14ac:dyDescent="0.3">
      <c r="B33" s="30"/>
    </row>
    <row r="34" spans="1:2" ht="13.2" customHeight="1" x14ac:dyDescent="0.3">
      <c r="A34" s="20"/>
      <c r="B34" s="31"/>
    </row>
    <row r="35" spans="1:2" ht="13.2" customHeight="1" x14ac:dyDescent="0.3">
      <c r="A35" s="20"/>
      <c r="B35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2A9E-F0A3-495A-8477-D5B36188D22D}">
  <sheetPr codeName="Sheet6"/>
  <dimension ref="A1:E124"/>
  <sheetViews>
    <sheetView workbookViewId="0">
      <pane ySplit="2" topLeftCell="A3" activePane="bottomLeft" state="frozen"/>
      <selection pane="bottomLeft" activeCell="A3" sqref="A3"/>
    </sheetView>
  </sheetViews>
  <sheetFormatPr defaultRowHeight="13.2" customHeight="1" x14ac:dyDescent="0.25"/>
  <cols>
    <col min="1" max="1" width="59.88671875" style="5" customWidth="1"/>
    <col min="2" max="2" width="28.33203125" style="5" bestFit="1" customWidth="1"/>
    <col min="3" max="4" width="8.88671875" style="5"/>
    <col min="5" max="5" width="67.77734375" customWidth="1"/>
  </cols>
  <sheetData>
    <row r="1" spans="1:3" ht="13.2" customHeight="1" x14ac:dyDescent="0.25">
      <c r="A1" s="21" t="s">
        <v>41</v>
      </c>
    </row>
    <row r="2" spans="1:3" ht="13.2" customHeight="1" x14ac:dyDescent="0.3">
      <c r="A2" s="33" t="s">
        <v>17</v>
      </c>
      <c r="B2" s="33" t="s">
        <v>18</v>
      </c>
      <c r="C2" s="5" t="s">
        <v>44</v>
      </c>
    </row>
    <row r="3" spans="1:3" ht="13.2" customHeight="1" x14ac:dyDescent="0.3">
      <c r="A3" s="31"/>
      <c r="B3" s="31"/>
    </row>
    <row r="4" spans="1:3" ht="13.2" customHeight="1" x14ac:dyDescent="0.3">
      <c r="A4" s="31"/>
      <c r="B4" s="31"/>
    </row>
    <row r="5" spans="1:3" ht="13.2" customHeight="1" x14ac:dyDescent="0.3">
      <c r="A5" s="31"/>
      <c r="B5" s="31"/>
    </row>
    <row r="6" spans="1:3" ht="13.2" customHeight="1" x14ac:dyDescent="0.3">
      <c r="A6" s="31"/>
      <c r="B6" s="31"/>
    </row>
    <row r="7" spans="1:3" ht="13.2" customHeight="1" x14ac:dyDescent="0.3">
      <c r="A7" s="31"/>
      <c r="B7" s="31"/>
    </row>
    <row r="8" spans="1:3" ht="13.2" customHeight="1" x14ac:dyDescent="0.3">
      <c r="A8" s="31"/>
      <c r="B8" s="31"/>
    </row>
    <row r="9" spans="1:3" ht="13.2" customHeight="1" x14ac:dyDescent="0.3">
      <c r="A9" s="31"/>
      <c r="B9" s="31"/>
    </row>
    <row r="10" spans="1:3" ht="13.2" customHeight="1" x14ac:dyDescent="0.3">
      <c r="A10" s="31"/>
      <c r="B10" s="31"/>
    </row>
    <row r="11" spans="1:3" ht="13.2" customHeight="1" x14ac:dyDescent="0.3">
      <c r="A11" s="31"/>
      <c r="B11" s="31"/>
    </row>
    <row r="12" spans="1:3" ht="13.2" customHeight="1" x14ac:dyDescent="0.3">
      <c r="A12" s="31"/>
      <c r="B12" s="31"/>
    </row>
    <row r="13" spans="1:3" ht="13.2" customHeight="1" x14ac:dyDescent="0.3">
      <c r="A13" s="31"/>
      <c r="B13" s="31"/>
    </row>
    <row r="14" spans="1:3" ht="13.2" customHeight="1" x14ac:dyDescent="0.3">
      <c r="A14" s="31"/>
      <c r="B14" s="31"/>
    </row>
    <row r="15" spans="1:3" ht="13.2" customHeight="1" x14ac:dyDescent="0.3">
      <c r="A15" s="31"/>
      <c r="B15" s="31"/>
    </row>
    <row r="16" spans="1:3" ht="13.2" customHeight="1" x14ac:dyDescent="0.3">
      <c r="A16" s="31"/>
      <c r="B16" s="31"/>
    </row>
    <row r="17" spans="1:2" ht="13.2" customHeight="1" x14ac:dyDescent="0.3">
      <c r="A17" s="31"/>
      <c r="B17" s="31"/>
    </row>
    <row r="18" spans="1:2" ht="13.2" customHeight="1" x14ac:dyDescent="0.3">
      <c r="A18" s="31"/>
      <c r="B18" s="31"/>
    </row>
    <row r="19" spans="1:2" ht="13.2" customHeight="1" x14ac:dyDescent="0.3">
      <c r="A19" s="31"/>
      <c r="B19" s="31"/>
    </row>
    <row r="20" spans="1:2" ht="13.2" customHeight="1" x14ac:dyDescent="0.3">
      <c r="A20" s="31"/>
      <c r="B20" s="31"/>
    </row>
    <row r="21" spans="1:2" ht="13.2" customHeight="1" x14ac:dyDescent="0.3">
      <c r="A21" s="31"/>
      <c r="B21" s="31"/>
    </row>
    <row r="22" spans="1:2" ht="13.2" customHeight="1" x14ac:dyDescent="0.3">
      <c r="A22" s="31"/>
      <c r="B22" s="31"/>
    </row>
    <row r="23" spans="1:2" ht="13.2" customHeight="1" x14ac:dyDescent="0.3">
      <c r="A23" s="31"/>
      <c r="B23" s="31"/>
    </row>
    <row r="24" spans="1:2" ht="13.2" customHeight="1" x14ac:dyDescent="0.3">
      <c r="A24" s="31"/>
      <c r="B24" s="31"/>
    </row>
    <row r="25" spans="1:2" ht="13.2" customHeight="1" x14ac:dyDescent="0.3">
      <c r="A25" s="31"/>
      <c r="B25" s="31"/>
    </row>
    <row r="26" spans="1:2" ht="13.2" customHeight="1" x14ac:dyDescent="0.3">
      <c r="A26" s="31"/>
      <c r="B26" s="31"/>
    </row>
    <row r="27" spans="1:2" ht="13.2" customHeight="1" x14ac:dyDescent="0.3">
      <c r="A27" s="31"/>
      <c r="B27" s="31"/>
    </row>
    <row r="28" spans="1:2" ht="13.2" customHeight="1" x14ac:dyDescent="0.3">
      <c r="A28" s="31"/>
      <c r="B28" s="31"/>
    </row>
    <row r="29" spans="1:2" ht="13.2" customHeight="1" x14ac:dyDescent="0.3">
      <c r="A29" s="31"/>
      <c r="B29" s="31"/>
    </row>
    <row r="30" spans="1:2" ht="13.2" customHeight="1" x14ac:dyDescent="0.3">
      <c r="A30" s="31"/>
      <c r="B30" s="31"/>
    </row>
    <row r="31" spans="1:2" ht="13.2" customHeight="1" x14ac:dyDescent="0.3">
      <c r="A31" s="31"/>
      <c r="B31" s="31"/>
    </row>
    <row r="32" spans="1:2" ht="13.2" customHeight="1" x14ac:dyDescent="0.3">
      <c r="A32" s="31"/>
      <c r="B32" s="31"/>
    </row>
    <row r="33" spans="1:2" ht="13.2" customHeight="1" x14ac:dyDescent="0.3">
      <c r="A33" s="31"/>
      <c r="B33" s="31"/>
    </row>
    <row r="34" spans="1:2" ht="13.2" customHeight="1" x14ac:dyDescent="0.3">
      <c r="A34" s="31"/>
      <c r="B34" s="31"/>
    </row>
    <row r="35" spans="1:2" ht="13.2" customHeight="1" x14ac:dyDescent="0.3">
      <c r="A35" s="31"/>
      <c r="B35" s="31"/>
    </row>
    <row r="36" spans="1:2" ht="13.2" customHeight="1" x14ac:dyDescent="0.3">
      <c r="A36" s="31"/>
      <c r="B36" s="31"/>
    </row>
    <row r="37" spans="1:2" ht="13.2" customHeight="1" x14ac:dyDescent="0.3">
      <c r="A37" s="31"/>
      <c r="B37" s="31"/>
    </row>
    <row r="38" spans="1:2" ht="13.2" customHeight="1" x14ac:dyDescent="0.3">
      <c r="A38" s="31"/>
      <c r="B38" s="31"/>
    </row>
    <row r="39" spans="1:2" ht="13.2" customHeight="1" x14ac:dyDescent="0.3">
      <c r="A39" s="31"/>
      <c r="B39" s="31"/>
    </row>
    <row r="40" spans="1:2" ht="13.2" customHeight="1" x14ac:dyDescent="0.3">
      <c r="A40" s="31"/>
      <c r="B40" s="31"/>
    </row>
    <row r="41" spans="1:2" ht="13.2" customHeight="1" x14ac:dyDescent="0.3">
      <c r="A41" s="31"/>
      <c r="B41" s="31"/>
    </row>
    <row r="42" spans="1:2" ht="13.2" customHeight="1" x14ac:dyDescent="0.3">
      <c r="A42" s="31"/>
      <c r="B42" s="31"/>
    </row>
    <row r="43" spans="1:2" ht="13.2" customHeight="1" x14ac:dyDescent="0.3">
      <c r="A43" s="31"/>
      <c r="B43" s="31"/>
    </row>
    <row r="44" spans="1:2" ht="13.2" customHeight="1" x14ac:dyDescent="0.3">
      <c r="A44" s="31"/>
      <c r="B44" s="31"/>
    </row>
    <row r="45" spans="1:2" ht="13.2" customHeight="1" x14ac:dyDescent="0.3">
      <c r="A45" s="31"/>
      <c r="B45" s="31"/>
    </row>
    <row r="46" spans="1:2" ht="13.2" customHeight="1" x14ac:dyDescent="0.3">
      <c r="A46" s="31"/>
      <c r="B46" s="31"/>
    </row>
    <row r="47" spans="1:2" ht="13.2" customHeight="1" x14ac:dyDescent="0.3">
      <c r="A47" s="31"/>
      <c r="B47" s="31"/>
    </row>
    <row r="48" spans="1:2" ht="13.2" customHeight="1" x14ac:dyDescent="0.3">
      <c r="A48" s="31"/>
      <c r="B48" s="31"/>
    </row>
    <row r="49" spans="1:2" ht="13.2" customHeight="1" x14ac:dyDescent="0.3">
      <c r="A49" s="31"/>
      <c r="B49" s="31"/>
    </row>
    <row r="50" spans="1:2" ht="13.2" customHeight="1" x14ac:dyDescent="0.3">
      <c r="A50" s="31"/>
      <c r="B50" s="31"/>
    </row>
    <row r="51" spans="1:2" ht="13.2" customHeight="1" x14ac:dyDescent="0.3">
      <c r="A51" s="31"/>
      <c r="B51" s="31"/>
    </row>
    <row r="52" spans="1:2" ht="13.2" customHeight="1" x14ac:dyDescent="0.3">
      <c r="A52" s="31"/>
      <c r="B52" s="31"/>
    </row>
    <row r="53" spans="1:2" ht="13.2" customHeight="1" x14ac:dyDescent="0.3">
      <c r="A53" s="31"/>
      <c r="B53" s="31"/>
    </row>
    <row r="54" spans="1:2" ht="13.2" customHeight="1" x14ac:dyDescent="0.3">
      <c r="A54" s="31"/>
      <c r="B54" s="31"/>
    </row>
    <row r="55" spans="1:2" ht="13.2" customHeight="1" x14ac:dyDescent="0.3">
      <c r="A55" s="31"/>
      <c r="B55" s="31"/>
    </row>
    <row r="56" spans="1:2" ht="13.2" customHeight="1" x14ac:dyDescent="0.3">
      <c r="A56" s="31"/>
      <c r="B56" s="31"/>
    </row>
    <row r="57" spans="1:2" ht="13.2" customHeight="1" x14ac:dyDescent="0.3">
      <c r="A57" s="31"/>
      <c r="B57" s="31"/>
    </row>
    <row r="58" spans="1:2" ht="13.2" customHeight="1" x14ac:dyDescent="0.3">
      <c r="A58" s="31"/>
      <c r="B58" s="31"/>
    </row>
    <row r="59" spans="1:2" ht="13.2" customHeight="1" x14ac:dyDescent="0.3">
      <c r="A59" s="31"/>
      <c r="B59" s="31"/>
    </row>
    <row r="60" spans="1:2" ht="13.2" customHeight="1" x14ac:dyDescent="0.3">
      <c r="B60" s="31"/>
    </row>
    <row r="61" spans="1:2" ht="13.2" customHeight="1" x14ac:dyDescent="0.3">
      <c r="A61" s="31"/>
      <c r="B61" s="31"/>
    </row>
    <row r="62" spans="1:2" ht="13.2" customHeight="1" x14ac:dyDescent="0.3">
      <c r="A62" s="31"/>
      <c r="B62" s="31"/>
    </row>
    <row r="63" spans="1:2" ht="13.2" customHeight="1" x14ac:dyDescent="0.3">
      <c r="A63" s="31"/>
      <c r="B63" s="31"/>
    </row>
    <row r="64" spans="1:2" ht="13.2" customHeight="1" x14ac:dyDescent="0.3">
      <c r="A64" s="31"/>
      <c r="B64" s="31"/>
    </row>
    <row r="65" spans="1:2" ht="13.2" customHeight="1" x14ac:dyDescent="0.3">
      <c r="A65" s="31"/>
      <c r="B65" s="31"/>
    </row>
    <row r="66" spans="1:2" ht="13.2" customHeight="1" x14ac:dyDescent="0.3">
      <c r="A66" s="31"/>
      <c r="B66" s="31"/>
    </row>
    <row r="67" spans="1:2" ht="13.2" customHeight="1" x14ac:dyDescent="0.3">
      <c r="A67" s="31"/>
      <c r="B67" s="31"/>
    </row>
    <row r="68" spans="1:2" ht="13.2" customHeight="1" x14ac:dyDescent="0.3">
      <c r="A68" s="31"/>
      <c r="B68" s="31"/>
    </row>
    <row r="69" spans="1:2" ht="13.2" customHeight="1" x14ac:dyDescent="0.3">
      <c r="A69" s="31"/>
      <c r="B69" s="31"/>
    </row>
    <row r="70" spans="1:2" ht="13.2" customHeight="1" x14ac:dyDescent="0.3">
      <c r="A70" s="31"/>
      <c r="B70" s="31"/>
    </row>
    <row r="71" spans="1:2" ht="13.2" customHeight="1" x14ac:dyDescent="0.3">
      <c r="A71" s="31"/>
      <c r="B71" s="31"/>
    </row>
    <row r="72" spans="1:2" ht="13.2" customHeight="1" x14ac:dyDescent="0.3">
      <c r="A72" s="31"/>
      <c r="B72" s="31"/>
    </row>
    <row r="73" spans="1:2" ht="13.2" customHeight="1" x14ac:dyDescent="0.3">
      <c r="A73" s="31"/>
      <c r="B73" s="31"/>
    </row>
    <row r="74" spans="1:2" ht="13.2" customHeight="1" x14ac:dyDescent="0.3">
      <c r="A74" s="31"/>
      <c r="B74" s="31"/>
    </row>
    <row r="75" spans="1:2" ht="13.2" customHeight="1" x14ac:dyDescent="0.3">
      <c r="A75" s="31"/>
      <c r="B75" s="31"/>
    </row>
    <row r="76" spans="1:2" ht="13.2" customHeight="1" x14ac:dyDescent="0.3">
      <c r="A76" s="31"/>
      <c r="B76" s="31"/>
    </row>
    <row r="77" spans="1:2" ht="13.2" customHeight="1" x14ac:dyDescent="0.3">
      <c r="A77" s="31"/>
      <c r="B77" s="31"/>
    </row>
    <row r="78" spans="1:2" ht="13.2" customHeight="1" x14ac:dyDescent="0.3">
      <c r="A78" s="31"/>
      <c r="B78" s="31"/>
    </row>
    <row r="79" spans="1:2" ht="13.2" customHeight="1" x14ac:dyDescent="0.3">
      <c r="A79" s="31"/>
      <c r="B79" s="31"/>
    </row>
    <row r="80" spans="1:2" ht="13.2" customHeight="1" x14ac:dyDescent="0.3">
      <c r="A80" s="31"/>
      <c r="B80" s="31"/>
    </row>
    <row r="81" spans="1:2" ht="13.2" customHeight="1" x14ac:dyDescent="0.3">
      <c r="A81" s="31"/>
      <c r="B81" s="31"/>
    </row>
    <row r="82" spans="1:2" ht="13.2" customHeight="1" x14ac:dyDescent="0.3">
      <c r="A82" s="31"/>
      <c r="B82" s="31"/>
    </row>
    <row r="83" spans="1:2" ht="13.2" customHeight="1" x14ac:dyDescent="0.3">
      <c r="A83" s="31"/>
      <c r="B83" s="31"/>
    </row>
    <row r="84" spans="1:2" ht="13.2" customHeight="1" x14ac:dyDescent="0.3">
      <c r="A84" s="31"/>
      <c r="B84" s="31"/>
    </row>
    <row r="85" spans="1:2" ht="13.2" customHeight="1" x14ac:dyDescent="0.3">
      <c r="A85" s="31"/>
      <c r="B85" s="31"/>
    </row>
    <row r="86" spans="1:2" ht="13.2" customHeight="1" x14ac:dyDescent="0.3">
      <c r="A86" s="31"/>
      <c r="B86" s="31"/>
    </row>
    <row r="87" spans="1:2" ht="13.2" customHeight="1" x14ac:dyDescent="0.3">
      <c r="A87" s="31"/>
      <c r="B87" s="31"/>
    </row>
    <row r="88" spans="1:2" ht="13.2" customHeight="1" x14ac:dyDescent="0.3">
      <c r="A88" s="31"/>
      <c r="B88" s="31"/>
    </row>
    <row r="89" spans="1:2" ht="13.2" customHeight="1" x14ac:dyDescent="0.3">
      <c r="A89" s="31"/>
      <c r="B89" s="31"/>
    </row>
    <row r="90" spans="1:2" ht="13.2" customHeight="1" x14ac:dyDescent="0.3">
      <c r="A90" s="31"/>
      <c r="B90" s="31"/>
    </row>
    <row r="91" spans="1:2" ht="13.2" customHeight="1" x14ac:dyDescent="0.3">
      <c r="A91" s="31"/>
      <c r="B91" s="31"/>
    </row>
    <row r="92" spans="1:2" ht="13.2" customHeight="1" x14ac:dyDescent="0.3">
      <c r="A92" s="31"/>
      <c r="B92" s="31"/>
    </row>
    <row r="93" spans="1:2" ht="13.2" customHeight="1" x14ac:dyDescent="0.3">
      <c r="A93" s="31"/>
      <c r="B93" s="31"/>
    </row>
    <row r="94" spans="1:2" ht="13.2" customHeight="1" x14ac:dyDescent="0.3">
      <c r="A94" s="31"/>
      <c r="B94" s="31"/>
    </row>
    <row r="95" spans="1:2" ht="13.2" customHeight="1" x14ac:dyDescent="0.3">
      <c r="A95" s="31"/>
      <c r="B95" s="31"/>
    </row>
    <row r="96" spans="1:2" ht="13.2" customHeight="1" x14ac:dyDescent="0.3">
      <c r="A96" s="31"/>
      <c r="B96" s="31"/>
    </row>
    <row r="97" spans="1:2" ht="13.2" customHeight="1" x14ac:dyDescent="0.3">
      <c r="A97" s="31"/>
      <c r="B97" s="31"/>
    </row>
    <row r="98" spans="1:2" ht="13.2" customHeight="1" x14ac:dyDescent="0.3">
      <c r="A98" s="31"/>
      <c r="B98" s="31"/>
    </row>
    <row r="99" spans="1:2" ht="13.2" customHeight="1" x14ac:dyDescent="0.3">
      <c r="A99" s="31"/>
      <c r="B99" s="31"/>
    </row>
    <row r="100" spans="1:2" ht="13.2" customHeight="1" x14ac:dyDescent="0.3">
      <c r="A100" s="31"/>
      <c r="B100" s="31"/>
    </row>
    <row r="101" spans="1:2" ht="13.2" customHeight="1" x14ac:dyDescent="0.3">
      <c r="A101" s="31"/>
      <c r="B101" s="31"/>
    </row>
    <row r="102" spans="1:2" ht="13.2" customHeight="1" x14ac:dyDescent="0.3">
      <c r="A102" s="31"/>
      <c r="B102" s="31"/>
    </row>
    <row r="103" spans="1:2" ht="13.2" customHeight="1" x14ac:dyDescent="0.3">
      <c r="A103" s="31"/>
      <c r="B103" s="31"/>
    </row>
    <row r="104" spans="1:2" ht="13.2" customHeight="1" x14ac:dyDescent="0.3">
      <c r="A104" s="31"/>
      <c r="B104" s="31"/>
    </row>
    <row r="105" spans="1:2" ht="13.2" customHeight="1" x14ac:dyDescent="0.3">
      <c r="A105" s="31"/>
      <c r="B105" s="31"/>
    </row>
    <row r="106" spans="1:2" ht="13.2" customHeight="1" x14ac:dyDescent="0.3">
      <c r="A106" s="31"/>
      <c r="B106" s="31"/>
    </row>
    <row r="107" spans="1:2" ht="13.2" customHeight="1" x14ac:dyDescent="0.3">
      <c r="A107" s="31"/>
      <c r="B107" s="31"/>
    </row>
    <row r="108" spans="1:2" ht="13.2" customHeight="1" x14ac:dyDescent="0.3">
      <c r="A108" s="31"/>
      <c r="B108" s="31"/>
    </row>
    <row r="109" spans="1:2" ht="13.2" customHeight="1" x14ac:dyDescent="0.3">
      <c r="A109" s="31"/>
      <c r="B109" s="31"/>
    </row>
    <row r="110" spans="1:2" ht="13.2" customHeight="1" x14ac:dyDescent="0.3">
      <c r="A110" s="31"/>
      <c r="B110" s="31"/>
    </row>
    <row r="111" spans="1:2" ht="13.2" customHeight="1" x14ac:dyDescent="0.3">
      <c r="A111" s="31"/>
      <c r="B111" s="31"/>
    </row>
    <row r="112" spans="1:2" ht="13.2" customHeight="1" x14ac:dyDescent="0.3">
      <c r="A112" s="31"/>
      <c r="B112" s="31"/>
    </row>
    <row r="113" spans="1:5" ht="13.2" customHeight="1" x14ac:dyDescent="0.3">
      <c r="A113" s="31"/>
      <c r="B113" s="31"/>
    </row>
    <row r="114" spans="1:5" ht="13.2" customHeight="1" x14ac:dyDescent="0.3">
      <c r="A114" s="31"/>
      <c r="B114" s="31"/>
    </row>
    <row r="115" spans="1:5" ht="13.2" customHeight="1" x14ac:dyDescent="0.3">
      <c r="A115" s="31"/>
      <c r="B115" s="31"/>
    </row>
    <row r="116" spans="1:5" ht="13.2" customHeight="1" x14ac:dyDescent="0.3">
      <c r="A116" s="31"/>
      <c r="B116" s="31"/>
    </row>
    <row r="117" spans="1:5" ht="13.2" customHeight="1" x14ac:dyDescent="0.3">
      <c r="A117" s="31"/>
      <c r="B117" s="31"/>
    </row>
    <row r="118" spans="1:5" ht="13.2" customHeight="1" x14ac:dyDescent="0.3">
      <c r="A118" s="31"/>
      <c r="B118" s="31"/>
    </row>
    <row r="119" spans="1:5" ht="13.2" customHeight="1" x14ac:dyDescent="0.3">
      <c r="A119" s="31"/>
      <c r="B119" s="31"/>
    </row>
    <row r="120" spans="1:5" ht="13.2" customHeight="1" x14ac:dyDescent="0.3">
      <c r="A120" s="31"/>
      <c r="B120" s="31"/>
    </row>
    <row r="121" spans="1:5" ht="13.2" customHeight="1" x14ac:dyDescent="0.3">
      <c r="A121" s="34"/>
      <c r="B121" s="34"/>
    </row>
    <row r="122" spans="1:5" ht="13.2" customHeight="1" x14ac:dyDescent="0.3">
      <c r="B122" s="31"/>
      <c r="E122" s="9"/>
    </row>
    <row r="123" spans="1:5" ht="13.2" customHeight="1" x14ac:dyDescent="0.3">
      <c r="B123" s="31"/>
    </row>
    <row r="124" spans="1:5" ht="13.2" customHeight="1" x14ac:dyDescent="0.3">
      <c r="A124" s="35"/>
      <c r="B124" s="34"/>
    </row>
  </sheetData>
  <autoFilter ref="A2:B123" xr:uid="{D4D52A9E-F0A3-495A-8477-D5B36188D22D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3A7CE-1674-4902-8D51-64FAFEC7E9B3}">
  <sheetPr codeName="Sheet3"/>
  <dimension ref="A1:J13"/>
  <sheetViews>
    <sheetView workbookViewId="0">
      <pane ySplit="2" topLeftCell="A3" activePane="bottomLeft" state="frozen"/>
      <selection pane="bottomLeft" activeCell="A3" sqref="A3"/>
    </sheetView>
  </sheetViews>
  <sheetFormatPr defaultRowHeight="12.6" customHeight="1" x14ac:dyDescent="0.25"/>
  <cols>
    <col min="1" max="1" width="4.77734375" bestFit="1" customWidth="1"/>
    <col min="2" max="2" width="63.21875" customWidth="1"/>
    <col min="3" max="3" width="7.6640625" bestFit="1" customWidth="1"/>
    <col min="4" max="4" width="7.5546875" bestFit="1" customWidth="1"/>
    <col min="5" max="5" width="8.6640625" bestFit="1" customWidth="1"/>
    <col min="6" max="6" width="7.6640625" bestFit="1" customWidth="1"/>
    <col min="7" max="7" width="11.5546875" bestFit="1" customWidth="1"/>
    <col min="8" max="8" width="29.5546875" customWidth="1"/>
    <col min="9" max="9" width="31.109375" customWidth="1"/>
  </cols>
  <sheetData>
    <row r="1" spans="1:10" ht="12.6" customHeight="1" x14ac:dyDescent="0.25">
      <c r="A1" s="21"/>
      <c r="B1" s="21" t="s">
        <v>50</v>
      </c>
    </row>
    <row r="2" spans="1:10" ht="12.6" customHeight="1" x14ac:dyDescent="0.25">
      <c r="A2" s="25" t="s">
        <v>6</v>
      </c>
      <c r="B2" s="26" t="s">
        <v>7</v>
      </c>
      <c r="C2" s="26" t="s">
        <v>8</v>
      </c>
      <c r="D2" s="26" t="s">
        <v>9</v>
      </c>
      <c r="E2" s="26" t="s">
        <v>10</v>
      </c>
      <c r="F2" s="26" t="s">
        <v>11</v>
      </c>
      <c r="G2" s="26" t="s">
        <v>12</v>
      </c>
      <c r="H2" s="26" t="s">
        <v>17</v>
      </c>
      <c r="I2" s="26" t="s">
        <v>18</v>
      </c>
      <c r="J2" s="26" t="s">
        <v>44</v>
      </c>
    </row>
    <row r="3" spans="1:10" ht="12.6" customHeight="1" x14ac:dyDescent="0.25">
      <c r="A3" s="25"/>
      <c r="B3" s="26"/>
      <c r="C3" s="26"/>
      <c r="D3" s="26"/>
      <c r="E3" s="26"/>
      <c r="F3" s="26"/>
      <c r="G3" s="26"/>
      <c r="H3" s="26"/>
      <c r="I3" s="26"/>
    </row>
    <row r="4" spans="1:10" ht="12.6" customHeight="1" x14ac:dyDescent="0.25">
      <c r="A4" s="25"/>
      <c r="B4" s="26"/>
      <c r="C4" s="26"/>
      <c r="D4" s="26"/>
      <c r="E4" s="26"/>
      <c r="F4" s="26"/>
      <c r="G4" s="26"/>
      <c r="H4" s="26"/>
      <c r="I4" s="26"/>
    </row>
    <row r="5" spans="1:10" ht="12.6" customHeight="1" x14ac:dyDescent="0.25">
      <c r="A5" s="25"/>
      <c r="B5" s="26"/>
      <c r="C5" s="26"/>
      <c r="D5" s="26"/>
      <c r="E5" s="26"/>
      <c r="F5" s="26"/>
      <c r="G5" s="26"/>
      <c r="H5" s="26"/>
      <c r="I5" s="26"/>
    </row>
    <row r="6" spans="1:10" ht="12.6" customHeight="1" x14ac:dyDescent="0.25">
      <c r="A6" s="25"/>
      <c r="B6" s="26"/>
      <c r="C6" s="26"/>
      <c r="D6" s="26"/>
      <c r="E6" s="26"/>
      <c r="F6" s="26"/>
      <c r="G6" s="26"/>
      <c r="H6" s="26"/>
      <c r="I6" s="26"/>
    </row>
    <row r="7" spans="1:10" ht="12.6" customHeight="1" x14ac:dyDescent="0.3">
      <c r="A7" s="25"/>
      <c r="B7" s="10"/>
      <c r="C7" s="26"/>
      <c r="D7" s="26"/>
      <c r="E7" s="26"/>
      <c r="F7" s="26"/>
      <c r="G7" s="26"/>
      <c r="H7" s="26"/>
      <c r="I7" s="26"/>
    </row>
    <row r="8" spans="1:10" ht="12.6" customHeight="1" x14ac:dyDescent="0.3">
      <c r="A8" s="25"/>
      <c r="B8" s="24"/>
      <c r="C8" s="26"/>
      <c r="D8" s="26"/>
      <c r="E8" s="26"/>
      <c r="F8" s="26"/>
      <c r="G8" s="26"/>
      <c r="H8" s="26"/>
      <c r="I8" s="26"/>
    </row>
    <row r="9" spans="1:10" ht="12.6" customHeight="1" x14ac:dyDescent="0.25">
      <c r="A9" s="25"/>
      <c r="B9" s="26"/>
      <c r="C9" s="26"/>
      <c r="D9" s="26"/>
      <c r="E9" s="26"/>
      <c r="F9" s="26"/>
      <c r="G9" s="26"/>
      <c r="H9" s="26"/>
      <c r="I9" s="26"/>
    </row>
    <row r="10" spans="1:10" ht="12.6" customHeight="1" x14ac:dyDescent="0.25">
      <c r="A10" s="25"/>
      <c r="B10" s="26"/>
      <c r="C10" s="26"/>
      <c r="D10" s="26"/>
      <c r="E10" s="26"/>
      <c r="F10" s="26"/>
      <c r="G10" s="26"/>
      <c r="H10" s="26"/>
      <c r="I10" s="26"/>
    </row>
    <row r="11" spans="1:10" ht="12.6" customHeight="1" x14ac:dyDescent="0.25">
      <c r="A11" s="25"/>
      <c r="B11" s="27"/>
      <c r="C11" s="26"/>
      <c r="D11" s="26"/>
      <c r="E11" s="26"/>
      <c r="F11" s="26"/>
      <c r="G11" s="26"/>
      <c r="H11" s="26"/>
      <c r="I11" s="26"/>
    </row>
    <row r="12" spans="1:10" ht="12.6" customHeight="1" x14ac:dyDescent="0.25">
      <c r="A12" s="25"/>
      <c r="B12" s="27"/>
      <c r="C12" s="26"/>
      <c r="D12" s="26"/>
      <c r="E12" s="26"/>
      <c r="F12" s="26"/>
      <c r="G12" s="26"/>
      <c r="H12" s="26"/>
      <c r="I12" s="26"/>
    </row>
    <row r="13" spans="1:10" ht="12.6" customHeight="1" x14ac:dyDescent="0.25">
      <c r="C13" s="26"/>
      <c r="H13" s="26"/>
      <c r="I13" s="26"/>
      <c r="J1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Control</vt:lpstr>
      <vt:lpstr>PnL</vt:lpstr>
      <vt:lpstr>Transactions</vt:lpstr>
      <vt:lpstr>Investments</vt:lpstr>
      <vt:lpstr>MapMiscTransactions</vt:lpstr>
      <vt:lpstr>MapConsolidatedDetails</vt:lpstr>
      <vt:lpstr>MapRougueTrades</vt:lpstr>
      <vt:lpstr>BasePath</vt:lpstr>
      <vt:lpstr>BusinessDate</vt:lpstr>
      <vt:lpstr>DataPath</vt:lpstr>
      <vt:lpstr>DBPath</vt:lpstr>
      <vt:lpstr>FileName</vt:lpstr>
      <vt:lpstr>FilePath</vt:lpstr>
      <vt:lpstr>InvestmentsPath</vt:lpstr>
      <vt:lpstr>LDate</vt:lpstr>
      <vt:lpstr>PDate</vt:lpstr>
      <vt:lpstr>rngLDate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 Ta</dc:creator>
  <cp:lastModifiedBy>Vi Ta</cp:lastModifiedBy>
  <dcterms:created xsi:type="dcterms:W3CDTF">2025-06-13T12:48:05Z</dcterms:created>
  <dcterms:modified xsi:type="dcterms:W3CDTF">2025-10-04T12:29:13Z</dcterms:modified>
</cp:coreProperties>
</file>